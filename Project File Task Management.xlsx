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Excel Project\Task Management\"/>
    </mc:Choice>
  </mc:AlternateContent>
  <xr:revisionPtr revIDLastSave="0" documentId="8_{006A0752-362C-4BC0-B11D-ED235E699011}" xr6:coauthVersionLast="47" xr6:coauthVersionMax="47" xr10:uidLastSave="{00000000-0000-0000-0000-000000000000}"/>
  <bookViews>
    <workbookView xWindow="-110" yWindow="-110" windowWidth="19420" windowHeight="10300" xr2:uid="{79A86EC9-CA2A-4CC0-8A23-9468AA9EB68D}"/>
  </bookViews>
  <sheets>
    <sheet name="DASHBOARD" sheetId="1" r:id="rId1"/>
    <sheet name="SUPPORT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  <c r="I5" i="2"/>
  <c r="I4" i="2"/>
  <c r="I3" i="2"/>
  <c r="F7" i="2"/>
  <c r="F6" i="2"/>
  <c r="F5" i="2"/>
  <c r="F4" i="2"/>
  <c r="F3" i="2"/>
  <c r="C5" i="2"/>
  <c r="C4" i="2"/>
  <c r="C3" i="2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C6" i="2" l="1"/>
  <c r="K3" i="2"/>
</calcChain>
</file>

<file path=xl/sharedStrings.xml><?xml version="1.0" encoding="utf-8"?>
<sst xmlns="http://schemas.openxmlformats.org/spreadsheetml/2006/main" count="121" uniqueCount="72">
  <si>
    <t>Task ID</t>
  </si>
  <si>
    <t>Task Name</t>
  </si>
  <si>
    <t>Team</t>
  </si>
  <si>
    <t>Task Owner</t>
  </si>
  <si>
    <t>Start Date</t>
  </si>
  <si>
    <t>Due Date</t>
  </si>
  <si>
    <t>Task Duration</t>
  </si>
  <si>
    <t>Status</t>
  </si>
  <si>
    <t>Overdue?</t>
  </si>
  <si>
    <t>Comments</t>
  </si>
  <si>
    <t>T001</t>
  </si>
  <si>
    <t>Prepare Q4 Financial Report</t>
  </si>
  <si>
    <t>Finance</t>
  </si>
  <si>
    <t>Sarah Johnson</t>
  </si>
  <si>
    <t>Completed</t>
  </si>
  <si>
    <t>Submitted to CFO for review.</t>
  </si>
  <si>
    <t>T002</t>
  </si>
  <si>
    <t>Conduct Market Research</t>
  </si>
  <si>
    <t>Strategy</t>
  </si>
  <si>
    <t>Draft findings ready; awaiting survey data.</t>
  </si>
  <si>
    <t>T003</t>
  </si>
  <si>
    <t>Redesign Website Homepage</t>
  </si>
  <si>
    <t>David Kim</t>
  </si>
  <si>
    <t>In Progress</t>
  </si>
  <si>
    <t>Wireframes approved; development in progress.</t>
  </si>
  <si>
    <t>T004</t>
  </si>
  <si>
    <t>Update Sales Forecast for FY2026</t>
  </si>
  <si>
    <t>Final version shared with Sales Director.</t>
  </si>
  <si>
    <t>T005</t>
  </si>
  <si>
    <t>Implement CRM Upgrade</t>
  </si>
  <si>
    <t>James Miller</t>
  </si>
  <si>
    <t>Vendor confirmed delivery timeline.</t>
  </si>
  <si>
    <t>T006</t>
  </si>
  <si>
    <t>Plan Annual Company Retreat</t>
  </si>
  <si>
    <t>HR</t>
  </si>
  <si>
    <t>Venue options being shortlisted.</t>
  </si>
  <si>
    <t>T007</t>
  </si>
  <si>
    <t>Review Legal for Contracts</t>
  </si>
  <si>
    <t>Alex Chen</t>
  </si>
  <si>
    <t>Not Started</t>
  </si>
  <si>
    <t>Updated contracts aligned with new regulation.</t>
  </si>
  <si>
    <t>T008</t>
  </si>
  <si>
    <t>Launch Social Media Campaign</t>
  </si>
  <si>
    <t>Marketing</t>
  </si>
  <si>
    <t>Initial creatives approved, campaign scheduled.</t>
  </si>
  <si>
    <t>T009</t>
  </si>
  <si>
    <t>Recruit New Data Analyst</t>
  </si>
  <si>
    <t>First round of interviews completed.</t>
  </si>
  <si>
    <t>T010</t>
  </si>
  <si>
    <t>Conduct Employee Survey</t>
  </si>
  <si>
    <t>Survey questions finalized.</t>
  </si>
  <si>
    <t>T011</t>
  </si>
  <si>
    <t>Prepare Investor Presentation</t>
  </si>
  <si>
    <t>Draft slides ready; awaiting financial highlights.</t>
  </si>
  <si>
    <t>T012</t>
  </si>
  <si>
    <t>Upgrade Infrastructure</t>
  </si>
  <si>
    <t>External consultant engagement pending.</t>
  </si>
  <si>
    <t>T013</t>
  </si>
  <si>
    <t>Evaluate Vendor Proposals for Logistics</t>
  </si>
  <si>
    <t>Emily Davis</t>
  </si>
  <si>
    <t>Three proposals shortlisted for management review.</t>
  </si>
  <si>
    <t>T014</t>
  </si>
  <si>
    <t>Draft Q1 Marketing Strategy</t>
  </si>
  <si>
    <t>Kick-off meeting scheduled next week.</t>
  </si>
  <si>
    <t>T015</t>
  </si>
  <si>
    <t>Audit Internal Expense Reports</t>
  </si>
  <si>
    <t>Waiting for submission of all departmental reports.</t>
  </si>
  <si>
    <t>Count</t>
  </si>
  <si>
    <t>Owners</t>
  </si>
  <si>
    <t>Overdue</t>
  </si>
  <si>
    <t>Total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</si>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</sst>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&quot;  Day &quot;"/>
  </numFmts>
  <fonts count="5" x14ac:knownFonts="1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577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1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/>
    <xf numFmtId="0" fontId="4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Normal" xfId="0" builtinId="0"/>
    <cellStyle name="Normal 2" xfId="1" xr:uid="{35F51A38-EA1F-4B2E-893B-B6B45A32B248}"/>
  </cellStyles>
  <dxfs count="14">
    <dxf>
      <font>
        <color rgb="FF9C0006"/>
      </font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5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#&quot;  Day &quot;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22577A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6666"/>
      <color rgb="FFFF3399"/>
      <color rgb="FFFF505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#</a:t>
            </a:r>
            <a:r>
              <a:rPr lang="en-US" b="1" baseline="0">
                <a:solidFill>
                  <a:schemeClr val="bg1"/>
                </a:solidFill>
              </a:rPr>
              <a:t> OF TASK BY OWNER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804273850689542"/>
          <c:y val="0.14269107435684084"/>
          <c:w val="0.72880658514337138"/>
          <c:h val="0.702814475278454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'SUPPORT SHEET'!$F$2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A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SHEET'!$E$3:$E$7</c:f>
              <c:strCache>
                <c:ptCount val="5"/>
                <c:pt idx="0">
                  <c:v>Sarah Johnson</c:v>
                </c:pt>
                <c:pt idx="1">
                  <c:v>David Kim</c:v>
                </c:pt>
                <c:pt idx="2">
                  <c:v>James Miller</c:v>
                </c:pt>
                <c:pt idx="3">
                  <c:v>Alex Chen</c:v>
                </c:pt>
                <c:pt idx="4">
                  <c:v>Emily Davis</c:v>
                </c:pt>
              </c:strCache>
            </c:strRef>
          </c:cat>
          <c:val>
            <c:numRef>
              <c:f>'SUPPORT SHEET'!$F$3:$F$7</c:f>
              <c:numCache>
                <c:formatCode>General</c:formatCode>
                <c:ptCount val="5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C5-4EA0-A7EC-B80712022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592500032"/>
        <c:axId val="1592501472"/>
      </c:barChart>
      <c:catAx>
        <c:axId val="1592500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AS"/>
          </a:p>
        </c:txPr>
        <c:crossAx val="1592501472"/>
        <c:crosses val="autoZero"/>
        <c:auto val="1"/>
        <c:lblAlgn val="ctr"/>
        <c:lblOffset val="100"/>
        <c:noMultiLvlLbl val="0"/>
      </c:catAx>
      <c:valAx>
        <c:axId val="1592501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9250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A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bg1"/>
                </a:solidFill>
              </a:rPr>
              <a:t># OF TASK BY TEAM</a:t>
            </a:r>
          </a:p>
        </c:rich>
      </c:tx>
      <c:layout>
        <c:manualLayout>
          <c:xMode val="edge"/>
          <c:yMode val="edge"/>
          <c:x val="0.4452908245564095"/>
          <c:y val="0.117386651099435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'SUPPORT SHEET'!$I$2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A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SHEET'!$H$3:$H$6</c:f>
              <c:strCache>
                <c:ptCount val="4"/>
                <c:pt idx="0">
                  <c:v>Finance</c:v>
                </c:pt>
                <c:pt idx="1">
                  <c:v>Strategy</c:v>
                </c:pt>
                <c:pt idx="2">
                  <c:v>HR</c:v>
                </c:pt>
                <c:pt idx="3">
                  <c:v>Marketing</c:v>
                </c:pt>
              </c:strCache>
            </c:strRef>
          </c:cat>
          <c:val>
            <c:numRef>
              <c:f>'SUPPORT SHEET'!$I$3:$I$6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14-4844-B5C4-90CE553E50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92526432"/>
        <c:axId val="1592537952"/>
      </c:barChart>
      <c:catAx>
        <c:axId val="1592526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AS"/>
          </a:p>
        </c:txPr>
        <c:crossAx val="1592537952"/>
        <c:crosses val="autoZero"/>
        <c:auto val="1"/>
        <c:lblAlgn val="ctr"/>
        <c:lblOffset val="100"/>
        <c:noMultiLvlLbl val="0"/>
      </c:catAx>
      <c:valAx>
        <c:axId val="15925379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9252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A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531090</xdr:colOff>
      <xdr:row>0</xdr:row>
      <xdr:rowOff>103909</xdr:rowOff>
    </xdr:from>
    <xdr:to>
      <xdr:col>10</xdr:col>
      <xdr:colOff>3071090</xdr:colOff>
      <xdr:row>3</xdr:row>
      <xdr:rowOff>150091</xdr:rowOff>
    </xdr:to>
    <xdr:sp macro="" textlink="">
      <xdr:nvSpPr>
        <xdr:cNvPr id="2" name="Rounded Rectangle 14">
          <a:extLst>
            <a:ext uri="{FF2B5EF4-FFF2-40B4-BE49-F238E27FC236}">
              <a16:creationId xmlns:a16="http://schemas.microsoft.com/office/drawing/2014/main" id="{EE1C156D-B970-4442-B730-9D7F8A19F10B}"/>
            </a:ext>
          </a:extLst>
        </xdr:cNvPr>
        <xdr:cNvSpPr/>
      </xdr:nvSpPr>
      <xdr:spPr>
        <a:xfrm>
          <a:off x="531090" y="103909"/>
          <a:ext cx="13808364" cy="600364"/>
        </a:xfrm>
        <a:prstGeom prst="roundRect">
          <a:avLst>
            <a:gd name="adj" fmla="val 10985"/>
          </a:avLst>
        </a:prstGeom>
        <a:gradFill>
          <a:gsLst>
            <a:gs pos="17000">
              <a:srgbClr val="002060"/>
            </a:gs>
            <a:gs pos="45000">
              <a:schemeClr val="accent4">
                <a:lumMod val="60000"/>
                <a:lumOff val="40000"/>
              </a:schemeClr>
            </a:gs>
            <a:gs pos="72000">
              <a:srgbClr val="00B0F0"/>
            </a:gs>
            <a:gs pos="100000">
              <a:schemeClr val="bg1">
                <a:lumMod val="95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577272</xdr:colOff>
      <xdr:row>0</xdr:row>
      <xdr:rowOff>103910</xdr:rowOff>
    </xdr:from>
    <xdr:to>
      <xdr:col>4</xdr:col>
      <xdr:colOff>542636</xdr:colOff>
      <xdr:row>3</xdr:row>
      <xdr:rowOff>23092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E63BE1-F32C-8339-EEB8-16D14C6415AD}"/>
            </a:ext>
          </a:extLst>
        </xdr:cNvPr>
        <xdr:cNvSpPr txBox="1"/>
      </xdr:nvSpPr>
      <xdr:spPr>
        <a:xfrm>
          <a:off x="577272" y="103910"/>
          <a:ext cx="4687455" cy="4733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chemeClr val="bg1"/>
              </a:solidFill>
            </a:rPr>
            <a:t>TASK MANAGEMENT TRACKER</a:t>
          </a:r>
          <a:endParaRPr lang="en-AS" sz="2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542636</xdr:colOff>
      <xdr:row>4</xdr:row>
      <xdr:rowOff>138545</xdr:rowOff>
    </xdr:from>
    <xdr:to>
      <xdr:col>2</xdr:col>
      <xdr:colOff>173182</xdr:colOff>
      <xdr:row>9</xdr:row>
      <xdr:rowOff>46183</xdr:rowOff>
    </xdr:to>
    <xdr:sp macro="" textlink="">
      <xdr:nvSpPr>
        <xdr:cNvPr id="4" name="Rounded Rectangle 14">
          <a:extLst>
            <a:ext uri="{FF2B5EF4-FFF2-40B4-BE49-F238E27FC236}">
              <a16:creationId xmlns:a16="http://schemas.microsoft.com/office/drawing/2014/main" id="{043CA693-78A5-4DB3-95DF-1973EC110D6C}"/>
            </a:ext>
          </a:extLst>
        </xdr:cNvPr>
        <xdr:cNvSpPr/>
      </xdr:nvSpPr>
      <xdr:spPr>
        <a:xfrm>
          <a:off x="542636" y="877454"/>
          <a:ext cx="1166091" cy="831274"/>
        </a:xfrm>
        <a:prstGeom prst="roundRect">
          <a:avLst>
            <a:gd name="adj" fmla="val 10985"/>
          </a:avLst>
        </a:prstGeom>
        <a:gradFill>
          <a:gsLst>
            <a:gs pos="17000">
              <a:srgbClr val="002060"/>
            </a:gs>
            <a:gs pos="72000">
              <a:srgbClr val="00B0F0"/>
            </a:gs>
            <a:gs pos="100000">
              <a:schemeClr val="bg1">
                <a:lumMod val="95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531091</xdr:colOff>
      <xdr:row>9</xdr:row>
      <xdr:rowOff>138546</xdr:rowOff>
    </xdr:from>
    <xdr:to>
      <xdr:col>2</xdr:col>
      <xdr:colOff>161637</xdr:colOff>
      <xdr:row>14</xdr:row>
      <xdr:rowOff>46183</xdr:rowOff>
    </xdr:to>
    <xdr:sp macro="" textlink="">
      <xdr:nvSpPr>
        <xdr:cNvPr id="6" name="Rounded Rectangle 14">
          <a:extLst>
            <a:ext uri="{FF2B5EF4-FFF2-40B4-BE49-F238E27FC236}">
              <a16:creationId xmlns:a16="http://schemas.microsoft.com/office/drawing/2014/main" id="{31CD7667-15AB-DACF-EA1C-9DB301BCA7F4}"/>
            </a:ext>
          </a:extLst>
        </xdr:cNvPr>
        <xdr:cNvSpPr/>
      </xdr:nvSpPr>
      <xdr:spPr>
        <a:xfrm>
          <a:off x="531091" y="1801091"/>
          <a:ext cx="1166091" cy="831274"/>
        </a:xfrm>
        <a:prstGeom prst="roundRect">
          <a:avLst>
            <a:gd name="adj" fmla="val 10985"/>
          </a:avLst>
        </a:prstGeom>
        <a:gradFill>
          <a:gsLst>
            <a:gs pos="17000">
              <a:srgbClr val="002060"/>
            </a:gs>
            <a:gs pos="72000">
              <a:srgbClr val="00B0F0"/>
            </a:gs>
            <a:gs pos="100000">
              <a:schemeClr val="bg1">
                <a:lumMod val="95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415636</xdr:colOff>
      <xdr:row>4</xdr:row>
      <xdr:rowOff>138545</xdr:rowOff>
    </xdr:from>
    <xdr:to>
      <xdr:col>2</xdr:col>
      <xdr:colOff>1581727</xdr:colOff>
      <xdr:row>9</xdr:row>
      <xdr:rowOff>46183</xdr:rowOff>
    </xdr:to>
    <xdr:sp macro="" textlink="">
      <xdr:nvSpPr>
        <xdr:cNvPr id="10" name="Rounded Rectangle 14">
          <a:extLst>
            <a:ext uri="{FF2B5EF4-FFF2-40B4-BE49-F238E27FC236}">
              <a16:creationId xmlns:a16="http://schemas.microsoft.com/office/drawing/2014/main" id="{87E59EBE-7DAF-BDEB-1762-564B0AFFF28D}"/>
            </a:ext>
          </a:extLst>
        </xdr:cNvPr>
        <xdr:cNvSpPr/>
      </xdr:nvSpPr>
      <xdr:spPr>
        <a:xfrm>
          <a:off x="1951181" y="877454"/>
          <a:ext cx="1166091" cy="831274"/>
        </a:xfrm>
        <a:prstGeom prst="roundRect">
          <a:avLst>
            <a:gd name="adj" fmla="val 10985"/>
          </a:avLst>
        </a:prstGeom>
        <a:gradFill>
          <a:gsLst>
            <a:gs pos="17000">
              <a:srgbClr val="002060"/>
            </a:gs>
            <a:gs pos="72000">
              <a:srgbClr val="00B0F0"/>
            </a:gs>
            <a:gs pos="100000">
              <a:schemeClr val="bg1">
                <a:lumMod val="95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404091</xdr:colOff>
      <xdr:row>9</xdr:row>
      <xdr:rowOff>138546</xdr:rowOff>
    </xdr:from>
    <xdr:to>
      <xdr:col>2</xdr:col>
      <xdr:colOff>1570182</xdr:colOff>
      <xdr:row>14</xdr:row>
      <xdr:rowOff>46183</xdr:rowOff>
    </xdr:to>
    <xdr:sp macro="" textlink="">
      <xdr:nvSpPr>
        <xdr:cNvPr id="11" name="Rounded Rectangle 14">
          <a:extLst>
            <a:ext uri="{FF2B5EF4-FFF2-40B4-BE49-F238E27FC236}">
              <a16:creationId xmlns:a16="http://schemas.microsoft.com/office/drawing/2014/main" id="{E8A016D3-A3AE-9FD4-68E0-8E497353F098}"/>
            </a:ext>
          </a:extLst>
        </xdr:cNvPr>
        <xdr:cNvSpPr/>
      </xdr:nvSpPr>
      <xdr:spPr>
        <a:xfrm>
          <a:off x="1939636" y="1801091"/>
          <a:ext cx="1166091" cy="831274"/>
        </a:xfrm>
        <a:prstGeom prst="roundRect">
          <a:avLst>
            <a:gd name="adj" fmla="val 10985"/>
          </a:avLst>
        </a:prstGeom>
        <a:gradFill>
          <a:gsLst>
            <a:gs pos="17000">
              <a:srgbClr val="002060"/>
            </a:gs>
            <a:gs pos="72000">
              <a:srgbClr val="00B0F0"/>
            </a:gs>
            <a:gs pos="100000">
              <a:schemeClr val="bg1">
                <a:lumMod val="95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1200726</xdr:colOff>
      <xdr:row>4</xdr:row>
      <xdr:rowOff>138544</xdr:rowOff>
    </xdr:from>
    <xdr:to>
      <xdr:col>10</xdr:col>
      <xdr:colOff>3082635</xdr:colOff>
      <xdr:row>14</xdr:row>
      <xdr:rowOff>69272</xdr:rowOff>
    </xdr:to>
    <xdr:sp macro="" textlink="">
      <xdr:nvSpPr>
        <xdr:cNvPr id="12" name="Rounded Rectangle 14">
          <a:extLst>
            <a:ext uri="{FF2B5EF4-FFF2-40B4-BE49-F238E27FC236}">
              <a16:creationId xmlns:a16="http://schemas.microsoft.com/office/drawing/2014/main" id="{A9FC2E64-F8F8-197B-8174-3FEF3CF1D947}"/>
            </a:ext>
          </a:extLst>
        </xdr:cNvPr>
        <xdr:cNvSpPr/>
      </xdr:nvSpPr>
      <xdr:spPr>
        <a:xfrm>
          <a:off x="12469090" y="877453"/>
          <a:ext cx="1881909" cy="1778001"/>
        </a:xfrm>
        <a:prstGeom prst="roundRect">
          <a:avLst>
            <a:gd name="adj" fmla="val 10985"/>
          </a:avLst>
        </a:prstGeom>
        <a:gradFill>
          <a:gsLst>
            <a:gs pos="17000">
              <a:srgbClr val="002060"/>
            </a:gs>
            <a:gs pos="72000">
              <a:srgbClr val="00B0F0"/>
            </a:gs>
            <a:gs pos="100000">
              <a:schemeClr val="bg1">
                <a:lumMod val="95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854363</xdr:colOff>
      <xdr:row>4</xdr:row>
      <xdr:rowOff>138544</xdr:rowOff>
    </xdr:from>
    <xdr:to>
      <xdr:col>10</xdr:col>
      <xdr:colOff>1016000</xdr:colOff>
      <xdr:row>14</xdr:row>
      <xdr:rowOff>69272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0B7E9703-4A6A-9CF7-D9E9-F7A48EDD8B08}"/>
            </a:ext>
          </a:extLst>
        </xdr:cNvPr>
        <xdr:cNvSpPr/>
      </xdr:nvSpPr>
      <xdr:spPr>
        <a:xfrm>
          <a:off x="7827818" y="877453"/>
          <a:ext cx="4456546" cy="1778001"/>
        </a:xfrm>
        <a:prstGeom prst="roundRect">
          <a:avLst>
            <a:gd name="adj" fmla="val 10985"/>
          </a:avLst>
        </a:prstGeom>
        <a:gradFill>
          <a:gsLst>
            <a:gs pos="17000">
              <a:srgbClr val="002060"/>
            </a:gs>
            <a:gs pos="72000">
              <a:srgbClr val="00B0F0"/>
            </a:gs>
            <a:gs pos="100000">
              <a:schemeClr val="tx1">
                <a:lumMod val="50000"/>
                <a:lumOff val="50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1743364</xdr:colOff>
      <xdr:row>4</xdr:row>
      <xdr:rowOff>138544</xdr:rowOff>
    </xdr:from>
    <xdr:to>
      <xdr:col>6</xdr:col>
      <xdr:colOff>762000</xdr:colOff>
      <xdr:row>14</xdr:row>
      <xdr:rowOff>69272</xdr:rowOff>
    </xdr:to>
    <xdr:sp macro="" textlink="">
      <xdr:nvSpPr>
        <xdr:cNvPr id="17" name="Rounded Rectangle 14">
          <a:extLst>
            <a:ext uri="{FF2B5EF4-FFF2-40B4-BE49-F238E27FC236}">
              <a16:creationId xmlns:a16="http://schemas.microsoft.com/office/drawing/2014/main" id="{60DB3AEE-55AC-A127-C945-1083F39C75D7}"/>
            </a:ext>
          </a:extLst>
        </xdr:cNvPr>
        <xdr:cNvSpPr/>
      </xdr:nvSpPr>
      <xdr:spPr>
        <a:xfrm>
          <a:off x="3271743" y="874268"/>
          <a:ext cx="4457740" cy="1770038"/>
        </a:xfrm>
        <a:prstGeom prst="roundRect">
          <a:avLst>
            <a:gd name="adj" fmla="val 10985"/>
          </a:avLst>
        </a:prstGeom>
        <a:gradFill>
          <a:gsLst>
            <a:gs pos="17000">
              <a:srgbClr val="002060"/>
            </a:gs>
            <a:gs pos="72000">
              <a:srgbClr val="00B0F0"/>
            </a:gs>
            <a:gs pos="100000">
              <a:schemeClr val="bg1">
                <a:lumMod val="50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57726</xdr:colOff>
      <xdr:row>4</xdr:row>
      <xdr:rowOff>147782</xdr:rowOff>
    </xdr:from>
    <xdr:to>
      <xdr:col>2</xdr:col>
      <xdr:colOff>95249</xdr:colOff>
      <xdr:row>5</xdr:row>
      <xdr:rowOff>171450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2044040-770E-CAAF-6811-3B53ABCED890}"/>
            </a:ext>
          </a:extLst>
        </xdr:cNvPr>
        <xdr:cNvSpPr txBox="1"/>
      </xdr:nvSpPr>
      <xdr:spPr>
        <a:xfrm>
          <a:off x="667326" y="884382"/>
          <a:ext cx="958273" cy="207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</a:rPr>
            <a:t>COMPLETED</a:t>
          </a:r>
          <a:endParaRPr lang="en-A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113562</xdr:colOff>
      <xdr:row>5</xdr:row>
      <xdr:rowOff>112666</xdr:rowOff>
    </xdr:from>
    <xdr:to>
      <xdr:col>1</xdr:col>
      <xdr:colOff>875862</xdr:colOff>
      <xdr:row>8</xdr:row>
      <xdr:rowOff>84958</xdr:rowOff>
    </xdr:to>
    <xdr:sp macro="" textlink="'SUPPORT SHEET'!C3">
      <xdr:nvSpPr>
        <xdr:cNvPr id="20" name="TextBox 19">
          <a:extLst>
            <a:ext uri="{FF2B5EF4-FFF2-40B4-BE49-F238E27FC236}">
              <a16:creationId xmlns:a16="http://schemas.microsoft.com/office/drawing/2014/main" id="{5378E852-08E7-F82F-6891-F44BCF71D488}"/>
            </a:ext>
          </a:extLst>
        </xdr:cNvPr>
        <xdr:cNvSpPr txBox="1"/>
      </xdr:nvSpPr>
      <xdr:spPr>
        <a:xfrm>
          <a:off x="722286" y="1032321"/>
          <a:ext cx="762300" cy="524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6E67726E-9A6C-4252-9262-0AE3806F129C}" type="TxLink">
            <a:rPr lang="en-US" sz="40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7</a:t>
          </a:fld>
          <a:endParaRPr lang="en-AS" sz="40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533976</xdr:colOff>
      <xdr:row>4</xdr:row>
      <xdr:rowOff>147782</xdr:rowOff>
    </xdr:from>
    <xdr:to>
      <xdr:col>2</xdr:col>
      <xdr:colOff>1600200</xdr:colOff>
      <xdr:row>6</xdr:row>
      <xdr:rowOff>6350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34B35AE-754C-1852-0889-982FAE792CEE}"/>
            </a:ext>
          </a:extLst>
        </xdr:cNvPr>
        <xdr:cNvSpPr txBox="1"/>
      </xdr:nvSpPr>
      <xdr:spPr>
        <a:xfrm>
          <a:off x="2069521" y="886691"/>
          <a:ext cx="1066224" cy="228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</a:rPr>
            <a:t>NOT</a:t>
          </a:r>
          <a:r>
            <a:rPr lang="en-US" sz="1100" b="1" baseline="0">
              <a:solidFill>
                <a:schemeClr val="bg1"/>
              </a:solidFill>
            </a:rPr>
            <a:t> STARTED</a:t>
          </a:r>
          <a:endParaRPr lang="en-A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589812</xdr:colOff>
      <xdr:row>5</xdr:row>
      <xdr:rowOff>112666</xdr:rowOff>
    </xdr:from>
    <xdr:to>
      <xdr:col>2</xdr:col>
      <xdr:colOff>1353207</xdr:colOff>
      <xdr:row>8</xdr:row>
      <xdr:rowOff>84958</xdr:rowOff>
    </xdr:to>
    <xdr:sp macro="" textlink="'SUPPORT SHEET'!C5">
      <xdr:nvSpPr>
        <xdr:cNvPr id="22" name="TextBox 21">
          <a:extLst>
            <a:ext uri="{FF2B5EF4-FFF2-40B4-BE49-F238E27FC236}">
              <a16:creationId xmlns:a16="http://schemas.microsoft.com/office/drawing/2014/main" id="{8E82D669-2B96-CCFB-3D94-7FCE4E186D9E}"/>
            </a:ext>
          </a:extLst>
        </xdr:cNvPr>
        <xdr:cNvSpPr txBox="1"/>
      </xdr:nvSpPr>
      <xdr:spPr>
        <a:xfrm>
          <a:off x="2125357" y="1036302"/>
          <a:ext cx="763395" cy="5264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E3EEA092-5B3B-48AC-A4AB-86122C084370}" type="TxLink">
            <a:rPr lang="en-US" sz="40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2</a:t>
          </a:fld>
          <a:endParaRPr lang="en-AS" sz="40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57726</xdr:colOff>
      <xdr:row>9</xdr:row>
      <xdr:rowOff>160482</xdr:rowOff>
    </xdr:from>
    <xdr:to>
      <xdr:col>2</xdr:col>
      <xdr:colOff>120650</xdr:colOff>
      <xdr:row>11</xdr:row>
      <xdr:rowOff>6350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BBD6087-7291-7741-D6A9-8B9DE666EE53}"/>
            </a:ext>
          </a:extLst>
        </xdr:cNvPr>
        <xdr:cNvSpPr txBox="1"/>
      </xdr:nvSpPr>
      <xdr:spPr>
        <a:xfrm>
          <a:off x="667326" y="1817832"/>
          <a:ext cx="983674" cy="2141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</a:rPr>
            <a:t>IN</a:t>
          </a:r>
          <a:r>
            <a:rPr lang="en-US" sz="1100" b="1" baseline="0">
              <a:solidFill>
                <a:schemeClr val="bg1"/>
              </a:solidFill>
            </a:rPr>
            <a:t> PROGRESS</a:t>
          </a:r>
          <a:endParaRPr lang="en-A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113562</xdr:colOff>
      <xdr:row>10</xdr:row>
      <xdr:rowOff>125365</xdr:rowOff>
    </xdr:from>
    <xdr:to>
      <xdr:col>1</xdr:col>
      <xdr:colOff>722586</xdr:colOff>
      <xdr:row>13</xdr:row>
      <xdr:rowOff>149086</xdr:rowOff>
    </xdr:to>
    <xdr:sp macro="" textlink="'SUPPORT SHEET'!C4">
      <xdr:nvSpPr>
        <xdr:cNvPr id="24" name="TextBox 23">
          <a:extLst>
            <a:ext uri="{FF2B5EF4-FFF2-40B4-BE49-F238E27FC236}">
              <a16:creationId xmlns:a16="http://schemas.microsoft.com/office/drawing/2014/main" id="{D2A58D76-62BA-954F-E09E-1F6CA2B8FC55}"/>
            </a:ext>
          </a:extLst>
        </xdr:cNvPr>
        <xdr:cNvSpPr txBox="1"/>
      </xdr:nvSpPr>
      <xdr:spPr>
        <a:xfrm>
          <a:off x="720953" y="1947539"/>
          <a:ext cx="609024" cy="5703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ACC3CE92-C3F2-4590-8322-6BDBAE20E34C}" type="TxLink">
            <a:rPr lang="en-US" sz="40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6</a:t>
          </a:fld>
          <a:endParaRPr lang="en-AS" sz="40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568354</xdr:colOff>
      <xdr:row>9</xdr:row>
      <xdr:rowOff>151723</xdr:rowOff>
    </xdr:from>
    <xdr:to>
      <xdr:col>2</xdr:col>
      <xdr:colOff>1526627</xdr:colOff>
      <xdr:row>10</xdr:row>
      <xdr:rowOff>175172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5DBE488-1B9B-1C6D-7D31-DD563A0EB911}"/>
            </a:ext>
          </a:extLst>
        </xdr:cNvPr>
        <xdr:cNvSpPr txBox="1"/>
      </xdr:nvSpPr>
      <xdr:spPr>
        <a:xfrm>
          <a:off x="2096733" y="1807102"/>
          <a:ext cx="958273" cy="207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</a:rPr>
            <a:t>TOTAL TASK</a:t>
          </a:r>
          <a:endParaRPr lang="en-A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523466</xdr:colOff>
      <xdr:row>10</xdr:row>
      <xdr:rowOff>116607</xdr:rowOff>
    </xdr:from>
    <xdr:to>
      <xdr:col>2</xdr:col>
      <xdr:colOff>1353207</xdr:colOff>
      <xdr:row>14</xdr:row>
      <xdr:rowOff>16565</xdr:rowOff>
    </xdr:to>
    <xdr:sp macro="" textlink="'SUPPORT SHEET'!C6">
      <xdr:nvSpPr>
        <xdr:cNvPr id="26" name="TextBox 25">
          <a:extLst>
            <a:ext uri="{FF2B5EF4-FFF2-40B4-BE49-F238E27FC236}">
              <a16:creationId xmlns:a16="http://schemas.microsoft.com/office/drawing/2014/main" id="{99A543D1-67FA-563F-22F5-A85E93C59FF8}"/>
            </a:ext>
          </a:extLst>
        </xdr:cNvPr>
        <xdr:cNvSpPr txBox="1"/>
      </xdr:nvSpPr>
      <xdr:spPr>
        <a:xfrm>
          <a:off x="2052988" y="1938781"/>
          <a:ext cx="829741" cy="6288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7A765003-EB32-4130-8FBE-4458EE69807C}" type="TxLink">
            <a:rPr lang="en-US" sz="40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15</a:t>
          </a:fld>
          <a:endParaRPr lang="en-AS" sz="40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1870363</xdr:colOff>
      <xdr:row>4</xdr:row>
      <xdr:rowOff>69274</xdr:rowOff>
    </xdr:from>
    <xdr:to>
      <xdr:col>6</xdr:col>
      <xdr:colOff>646545</xdr:colOff>
      <xdr:row>15</xdr:row>
      <xdr:rowOff>92364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39D02E07-7240-49B2-BE07-3428ECC4A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126999</xdr:colOff>
      <xdr:row>3</xdr:row>
      <xdr:rowOff>115454</xdr:rowOff>
    </xdr:from>
    <xdr:to>
      <xdr:col>10</xdr:col>
      <xdr:colOff>1098326</xdr:colOff>
      <xdr:row>14</xdr:row>
      <xdr:rowOff>139054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7553071-0589-46E0-AAA2-F5F65FA6E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1280966</xdr:colOff>
      <xdr:row>5</xdr:row>
      <xdr:rowOff>46183</xdr:rowOff>
    </xdr:from>
    <xdr:to>
      <xdr:col>10</xdr:col>
      <xdr:colOff>3124200</xdr:colOff>
      <xdr:row>6</xdr:row>
      <xdr:rowOff>177800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C75C135-B5FA-BEB2-FB0F-D1072A258532}"/>
            </a:ext>
          </a:extLst>
        </xdr:cNvPr>
        <xdr:cNvSpPr txBox="1"/>
      </xdr:nvSpPr>
      <xdr:spPr>
        <a:xfrm>
          <a:off x="12539516" y="966933"/>
          <a:ext cx="1843234" cy="3157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1"/>
              </a:solidFill>
            </a:rPr>
            <a:t>OVER</a:t>
          </a:r>
          <a:r>
            <a:rPr lang="en-US" sz="1800" b="1" baseline="0">
              <a:solidFill>
                <a:schemeClr val="bg1"/>
              </a:solidFill>
            </a:rPr>
            <a:t>DUE TASKS</a:t>
          </a:r>
          <a:endParaRPr lang="en-A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1449947</xdr:colOff>
      <xdr:row>5</xdr:row>
      <xdr:rowOff>90714</xdr:rowOff>
    </xdr:from>
    <xdr:to>
      <xdr:col>10</xdr:col>
      <xdr:colOff>2766786</xdr:colOff>
      <xdr:row>14</xdr:row>
      <xdr:rowOff>0</xdr:rowOff>
    </xdr:to>
    <xdr:sp macro="" textlink="'SUPPORT SHEET'!K3">
      <xdr:nvSpPr>
        <xdr:cNvPr id="30" name="TextBox 29">
          <a:extLst>
            <a:ext uri="{FF2B5EF4-FFF2-40B4-BE49-F238E27FC236}">
              <a16:creationId xmlns:a16="http://schemas.microsoft.com/office/drawing/2014/main" id="{8F9692B8-5892-16F7-FE6B-B5D7F960779C}"/>
            </a:ext>
          </a:extLst>
        </xdr:cNvPr>
        <xdr:cNvSpPr txBox="1"/>
      </xdr:nvSpPr>
      <xdr:spPr>
        <a:xfrm>
          <a:off x="12734804" y="997857"/>
          <a:ext cx="1316839" cy="15421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842259B2-99C3-47CF-AF5C-EFBC5C8CB90C}" type="TxLink">
            <a:rPr lang="en-US" sz="115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8</a:t>
          </a:fld>
          <a:endParaRPr lang="en-AS" sz="115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4</xdr:col>
      <xdr:colOff>542638</xdr:colOff>
      <xdr:row>0</xdr:row>
      <xdr:rowOff>127001</xdr:rowOff>
    </xdr:from>
    <xdr:to>
      <xdr:col>4</xdr:col>
      <xdr:colOff>1082638</xdr:colOff>
      <xdr:row>3</xdr:row>
      <xdr:rowOff>112819</xdr:rowOff>
    </xdr:to>
    <xdr:pic>
      <xdr:nvPicPr>
        <xdr:cNvPr id="33" name="Graphic 32" descr="Clipboard Mixed with solid fill">
          <a:extLst>
            <a:ext uri="{FF2B5EF4-FFF2-40B4-BE49-F238E27FC236}">
              <a16:creationId xmlns:a16="http://schemas.microsoft.com/office/drawing/2014/main" id="{5C0D2B7C-613A-8D1B-662F-7DD92DC91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264729" y="127001"/>
          <a:ext cx="540000" cy="540000"/>
        </a:xfrm>
        <a:prstGeom prst="rect">
          <a:avLst/>
        </a:prstGeom>
      </xdr:spPr>
    </xdr:pic>
    <xdr:clientData/>
  </xdr:twoCellAnchor>
  <xdr:twoCellAnchor>
    <xdr:from>
      <xdr:col>10</xdr:col>
      <xdr:colOff>1284652</xdr:colOff>
      <xdr:row>5</xdr:row>
      <xdr:rowOff>44938</xdr:rowOff>
    </xdr:from>
    <xdr:to>
      <xdr:col>10</xdr:col>
      <xdr:colOff>2999153</xdr:colOff>
      <xdr:row>13</xdr:row>
      <xdr:rowOff>161193</xdr:rowOff>
    </xdr:to>
    <xdr:sp macro="" textlink="">
      <xdr:nvSpPr>
        <xdr:cNvPr id="38" name="Rounded Rectangle 14">
          <a:extLst>
            <a:ext uri="{FF2B5EF4-FFF2-40B4-BE49-F238E27FC236}">
              <a16:creationId xmlns:a16="http://schemas.microsoft.com/office/drawing/2014/main" id="{F29D99FB-37D4-64BC-79CE-25E49FF0818D}"/>
            </a:ext>
          </a:extLst>
        </xdr:cNvPr>
        <xdr:cNvSpPr/>
      </xdr:nvSpPr>
      <xdr:spPr>
        <a:xfrm>
          <a:off x="12543690" y="973015"/>
          <a:ext cx="1714501" cy="1601178"/>
        </a:xfrm>
        <a:prstGeom prst="roundRect">
          <a:avLst>
            <a:gd name="adj" fmla="val 10985"/>
          </a:avLst>
        </a:prstGeom>
        <a:solidFill>
          <a:schemeClr val="bg1">
            <a:alpha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4</xdr:col>
      <xdr:colOff>1143000</xdr:colOff>
      <xdr:row>0</xdr:row>
      <xdr:rowOff>92364</xdr:rowOff>
    </xdr:from>
    <xdr:to>
      <xdr:col>5</xdr:col>
      <xdr:colOff>588909</xdr:colOff>
      <xdr:row>3</xdr:row>
      <xdr:rowOff>150182</xdr:rowOff>
    </xdr:to>
    <xdr:pic>
      <xdr:nvPicPr>
        <xdr:cNvPr id="35" name="Graphic 34" descr="Online meeting with solid fill">
          <a:extLst>
            <a:ext uri="{FF2B5EF4-FFF2-40B4-BE49-F238E27FC236}">
              <a16:creationId xmlns:a16="http://schemas.microsoft.com/office/drawing/2014/main" id="{8B68AEBA-30B0-21A5-7E39-7B6D784A8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865091" y="92364"/>
          <a:ext cx="612000" cy="612000"/>
        </a:xfrm>
        <a:prstGeom prst="rect">
          <a:avLst/>
        </a:prstGeom>
      </xdr:spPr>
    </xdr:pic>
    <xdr:clientData/>
  </xdr:twoCellAnchor>
  <xdr:twoCellAnchor>
    <xdr:from>
      <xdr:col>1</xdr:col>
      <xdr:colOff>1726</xdr:colOff>
      <xdr:row>10</xdr:row>
      <xdr:rowOff>23812</xdr:rowOff>
    </xdr:from>
    <xdr:to>
      <xdr:col>2</xdr:col>
      <xdr:colOff>73163</xdr:colOff>
      <xdr:row>14</xdr:row>
      <xdr:rowOff>1</xdr:rowOff>
    </xdr:to>
    <xdr:sp macro="" textlink="">
      <xdr:nvSpPr>
        <xdr:cNvPr id="41" name="Rounded Rectangle 14">
          <a:extLst>
            <a:ext uri="{FF2B5EF4-FFF2-40B4-BE49-F238E27FC236}">
              <a16:creationId xmlns:a16="http://schemas.microsoft.com/office/drawing/2014/main" id="{0920FD2B-AE74-FBA2-CA26-7A87FD1BBBBA}"/>
            </a:ext>
          </a:extLst>
        </xdr:cNvPr>
        <xdr:cNvSpPr/>
      </xdr:nvSpPr>
      <xdr:spPr>
        <a:xfrm>
          <a:off x="609117" y="1845986"/>
          <a:ext cx="993568" cy="705058"/>
        </a:xfrm>
        <a:prstGeom prst="roundRect">
          <a:avLst>
            <a:gd name="adj" fmla="val 10985"/>
          </a:avLst>
        </a:prstGeom>
        <a:solidFill>
          <a:schemeClr val="bg1">
            <a:alpha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481945</xdr:colOff>
      <xdr:row>10</xdr:row>
      <xdr:rowOff>23812</xdr:rowOff>
    </xdr:from>
    <xdr:to>
      <xdr:col>2</xdr:col>
      <xdr:colOff>1474132</xdr:colOff>
      <xdr:row>14</xdr:row>
      <xdr:rowOff>1</xdr:rowOff>
    </xdr:to>
    <xdr:sp macro="" textlink="">
      <xdr:nvSpPr>
        <xdr:cNvPr id="42" name="Rounded Rectangle 14">
          <a:extLst>
            <a:ext uri="{FF2B5EF4-FFF2-40B4-BE49-F238E27FC236}">
              <a16:creationId xmlns:a16="http://schemas.microsoft.com/office/drawing/2014/main" id="{79FD9573-D7BA-E970-E86C-8304F8097E6F}"/>
            </a:ext>
          </a:extLst>
        </xdr:cNvPr>
        <xdr:cNvSpPr/>
      </xdr:nvSpPr>
      <xdr:spPr>
        <a:xfrm>
          <a:off x="2011467" y="1845986"/>
          <a:ext cx="992187" cy="705058"/>
        </a:xfrm>
        <a:prstGeom prst="roundRect">
          <a:avLst>
            <a:gd name="adj" fmla="val 10985"/>
          </a:avLst>
        </a:prstGeom>
        <a:solidFill>
          <a:schemeClr val="bg1">
            <a:alpha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17601</xdr:colOff>
      <xdr:row>5</xdr:row>
      <xdr:rowOff>7936</xdr:rowOff>
    </xdr:from>
    <xdr:to>
      <xdr:col>2</xdr:col>
      <xdr:colOff>89038</xdr:colOff>
      <xdr:row>8</xdr:row>
      <xdr:rowOff>166688</xdr:rowOff>
    </xdr:to>
    <xdr:sp macro="" textlink="">
      <xdr:nvSpPr>
        <xdr:cNvPr id="43" name="Rounded Rectangle 14">
          <a:extLst>
            <a:ext uri="{FF2B5EF4-FFF2-40B4-BE49-F238E27FC236}">
              <a16:creationId xmlns:a16="http://schemas.microsoft.com/office/drawing/2014/main" id="{E117E691-56C5-2D1C-3D7D-84FE3393B079}"/>
            </a:ext>
          </a:extLst>
        </xdr:cNvPr>
        <xdr:cNvSpPr/>
      </xdr:nvSpPr>
      <xdr:spPr>
        <a:xfrm>
          <a:off x="624992" y="919023"/>
          <a:ext cx="993568" cy="705404"/>
        </a:xfrm>
        <a:prstGeom prst="roundRect">
          <a:avLst>
            <a:gd name="adj" fmla="val 10985"/>
          </a:avLst>
        </a:prstGeom>
        <a:solidFill>
          <a:schemeClr val="bg1">
            <a:alpha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503376</xdr:colOff>
      <xdr:row>5</xdr:row>
      <xdr:rowOff>9523</xdr:rowOff>
    </xdr:from>
    <xdr:to>
      <xdr:col>2</xdr:col>
      <xdr:colOff>1495563</xdr:colOff>
      <xdr:row>8</xdr:row>
      <xdr:rowOff>168275</xdr:rowOff>
    </xdr:to>
    <xdr:sp macro="" textlink="">
      <xdr:nvSpPr>
        <xdr:cNvPr id="44" name="Rounded Rectangle 14">
          <a:extLst>
            <a:ext uri="{FF2B5EF4-FFF2-40B4-BE49-F238E27FC236}">
              <a16:creationId xmlns:a16="http://schemas.microsoft.com/office/drawing/2014/main" id="{AB5CC2F1-41C2-C289-E2CE-6CB47456DE6E}"/>
            </a:ext>
          </a:extLst>
        </xdr:cNvPr>
        <xdr:cNvSpPr/>
      </xdr:nvSpPr>
      <xdr:spPr>
        <a:xfrm>
          <a:off x="2032898" y="920610"/>
          <a:ext cx="992187" cy="705404"/>
        </a:xfrm>
        <a:prstGeom prst="roundRect">
          <a:avLst>
            <a:gd name="adj" fmla="val 10985"/>
          </a:avLst>
        </a:prstGeom>
        <a:solidFill>
          <a:schemeClr val="bg1">
            <a:alpha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996109</xdr:colOff>
      <xdr:row>4</xdr:row>
      <xdr:rowOff>181345</xdr:rowOff>
    </xdr:from>
    <xdr:to>
      <xdr:col>10</xdr:col>
      <xdr:colOff>874059</xdr:colOff>
      <xdr:row>14</xdr:row>
      <xdr:rowOff>7469</xdr:rowOff>
    </xdr:to>
    <xdr:sp macro="" textlink="">
      <xdr:nvSpPr>
        <xdr:cNvPr id="45" name="Rounded Rectangle 14">
          <a:extLst>
            <a:ext uri="{FF2B5EF4-FFF2-40B4-BE49-F238E27FC236}">
              <a16:creationId xmlns:a16="http://schemas.microsoft.com/office/drawing/2014/main" id="{C75265CF-0ED8-D564-B315-FCAB3E5B0CE8}"/>
            </a:ext>
          </a:extLst>
        </xdr:cNvPr>
        <xdr:cNvSpPr/>
      </xdr:nvSpPr>
      <xdr:spPr>
        <a:xfrm>
          <a:off x="7958697" y="928404"/>
          <a:ext cx="4166068" cy="1693771"/>
        </a:xfrm>
        <a:prstGeom prst="roundRect">
          <a:avLst>
            <a:gd name="adj" fmla="val 10985"/>
          </a:avLst>
        </a:prstGeom>
        <a:solidFill>
          <a:schemeClr val="bg1">
            <a:alpha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1888097</xdr:colOff>
      <xdr:row>5</xdr:row>
      <xdr:rowOff>12510</xdr:rowOff>
    </xdr:from>
    <xdr:to>
      <xdr:col>6</xdr:col>
      <xdr:colOff>623048</xdr:colOff>
      <xdr:row>14</xdr:row>
      <xdr:rowOff>25399</xdr:rowOff>
    </xdr:to>
    <xdr:sp macro="" textlink="">
      <xdr:nvSpPr>
        <xdr:cNvPr id="46" name="Rounded Rectangle 14">
          <a:extLst>
            <a:ext uri="{FF2B5EF4-FFF2-40B4-BE49-F238E27FC236}">
              <a16:creationId xmlns:a16="http://schemas.microsoft.com/office/drawing/2014/main" id="{CC5ED2A0-C340-EDF5-289E-1843287C9225}"/>
            </a:ext>
          </a:extLst>
        </xdr:cNvPr>
        <xdr:cNvSpPr/>
      </xdr:nvSpPr>
      <xdr:spPr>
        <a:xfrm>
          <a:off x="3419568" y="946334"/>
          <a:ext cx="4166068" cy="1693771"/>
        </a:xfrm>
        <a:prstGeom prst="roundRect">
          <a:avLst>
            <a:gd name="adj" fmla="val 10985"/>
          </a:avLst>
        </a:prstGeom>
        <a:solidFill>
          <a:schemeClr val="bg1">
            <a:alpha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583993</xdr:colOff>
      <xdr:row>0</xdr:row>
      <xdr:rowOff>160129</xdr:rowOff>
    </xdr:from>
    <xdr:to>
      <xdr:col>10</xdr:col>
      <xdr:colOff>3009346</xdr:colOff>
      <xdr:row>3</xdr:row>
      <xdr:rowOff>99390</xdr:rowOff>
    </xdr:to>
    <xdr:sp macro="" textlink="">
      <xdr:nvSpPr>
        <xdr:cNvPr id="47" name="Rounded Rectangle 14">
          <a:extLst>
            <a:ext uri="{FF2B5EF4-FFF2-40B4-BE49-F238E27FC236}">
              <a16:creationId xmlns:a16="http://schemas.microsoft.com/office/drawing/2014/main" id="{6BA71311-E84A-A8E1-96D5-7EECFE13E491}"/>
            </a:ext>
          </a:extLst>
        </xdr:cNvPr>
        <xdr:cNvSpPr/>
      </xdr:nvSpPr>
      <xdr:spPr>
        <a:xfrm>
          <a:off x="583993" y="160129"/>
          <a:ext cx="13695223" cy="485913"/>
        </a:xfrm>
        <a:prstGeom prst="roundRect">
          <a:avLst>
            <a:gd name="adj" fmla="val 10985"/>
          </a:avLst>
        </a:prstGeom>
        <a:solidFill>
          <a:schemeClr val="bg1">
            <a:alpha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331107</xdr:colOff>
      <xdr:row>14</xdr:row>
      <xdr:rowOff>17236</xdr:rowOff>
    </xdr:from>
    <xdr:to>
      <xdr:col>19</xdr:col>
      <xdr:colOff>306517</xdr:colOff>
      <xdr:row>20</xdr:row>
      <xdr:rowOff>12401</xdr:rowOff>
    </xdr:to>
    <xdr:sp macro="" textlink="">
      <xdr:nvSpPr>
        <xdr:cNvPr id="2" name="Rounded Rectangle 14">
          <a:extLst>
            <a:ext uri="{FF2B5EF4-FFF2-40B4-BE49-F238E27FC236}">
              <a16:creationId xmlns:a16="http://schemas.microsoft.com/office/drawing/2014/main" id="{13DD27D5-EC2D-4AE0-AD16-455535062263}"/>
            </a:ext>
          </a:extLst>
        </xdr:cNvPr>
        <xdr:cNvSpPr/>
      </xdr:nvSpPr>
      <xdr:spPr>
        <a:xfrm>
          <a:off x="10808607" y="2575379"/>
          <a:ext cx="1190981" cy="1083736"/>
        </a:xfrm>
        <a:prstGeom prst="roundRect">
          <a:avLst>
            <a:gd name="adj" fmla="val 10985"/>
          </a:avLst>
        </a:prstGeom>
        <a:gradFill>
          <a:gsLst>
            <a:gs pos="17000">
              <a:srgbClr val="002060"/>
            </a:gs>
            <a:gs pos="45000">
              <a:schemeClr val="accent4">
                <a:lumMod val="60000"/>
                <a:lumOff val="40000"/>
              </a:schemeClr>
            </a:gs>
            <a:gs pos="72000">
              <a:srgbClr val="00B0F0"/>
            </a:gs>
            <a:gs pos="100000">
              <a:schemeClr val="bg1">
                <a:lumMod val="95000"/>
              </a:schemeClr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561099</xdr:colOff>
      <xdr:row>13</xdr:row>
      <xdr:rowOff>105316</xdr:rowOff>
    </xdr:from>
    <xdr:to>
      <xdr:col>16</xdr:col>
      <xdr:colOff>452243</xdr:colOff>
      <xdr:row>22</xdr:row>
      <xdr:rowOff>73637</xdr:rowOff>
    </xdr:to>
    <xdr:sp macro="" textlink="">
      <xdr:nvSpPr>
        <xdr:cNvPr id="5" name="Rounded Rectangle 14">
          <a:extLst>
            <a:ext uri="{FF2B5EF4-FFF2-40B4-BE49-F238E27FC236}">
              <a16:creationId xmlns:a16="http://schemas.microsoft.com/office/drawing/2014/main" id="{AFEA97CA-29DA-40D4-942C-C7C0613D5032}"/>
            </a:ext>
          </a:extLst>
        </xdr:cNvPr>
        <xdr:cNvSpPr/>
      </xdr:nvSpPr>
      <xdr:spPr>
        <a:xfrm>
          <a:off x="8607456" y="2482030"/>
          <a:ext cx="1714501" cy="1601178"/>
        </a:xfrm>
        <a:prstGeom prst="roundRect">
          <a:avLst>
            <a:gd name="adj" fmla="val 10985"/>
          </a:avLst>
        </a:prstGeom>
        <a:solidFill>
          <a:schemeClr val="bg1">
            <a:alpha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409239</xdr:colOff>
      <xdr:row>13</xdr:row>
      <xdr:rowOff>115257</xdr:rowOff>
    </xdr:from>
    <xdr:to>
      <xdr:col>5</xdr:col>
      <xdr:colOff>494284</xdr:colOff>
      <xdr:row>17</xdr:row>
      <xdr:rowOff>105140</xdr:rowOff>
    </xdr:to>
    <xdr:sp macro="" textlink="">
      <xdr:nvSpPr>
        <xdr:cNvPr id="6" name="Rounded Rectangle 14">
          <a:extLst>
            <a:ext uri="{FF2B5EF4-FFF2-40B4-BE49-F238E27FC236}">
              <a16:creationId xmlns:a16="http://schemas.microsoft.com/office/drawing/2014/main" id="{9E5E9535-3FBB-42AF-AD07-20F55AB280F0}"/>
            </a:ext>
          </a:extLst>
        </xdr:cNvPr>
        <xdr:cNvSpPr/>
      </xdr:nvSpPr>
      <xdr:spPr>
        <a:xfrm>
          <a:off x="2813168" y="2491971"/>
          <a:ext cx="992187" cy="715598"/>
        </a:xfrm>
        <a:prstGeom prst="roundRect">
          <a:avLst>
            <a:gd name="adj" fmla="val 10985"/>
          </a:avLst>
        </a:prstGeom>
        <a:solidFill>
          <a:schemeClr val="bg1">
            <a:alpha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206460</xdr:colOff>
      <xdr:row>13</xdr:row>
      <xdr:rowOff>118245</xdr:rowOff>
    </xdr:from>
    <xdr:to>
      <xdr:col>13</xdr:col>
      <xdr:colOff>200945</xdr:colOff>
      <xdr:row>22</xdr:row>
      <xdr:rowOff>168815</xdr:rowOff>
    </xdr:to>
    <xdr:sp macro="" textlink="">
      <xdr:nvSpPr>
        <xdr:cNvPr id="7" name="Rounded Rectangle 14">
          <a:extLst>
            <a:ext uri="{FF2B5EF4-FFF2-40B4-BE49-F238E27FC236}">
              <a16:creationId xmlns:a16="http://schemas.microsoft.com/office/drawing/2014/main" id="{FF0621C3-314B-4561-8AFC-6B4E7D84B39F}"/>
            </a:ext>
          </a:extLst>
        </xdr:cNvPr>
        <xdr:cNvSpPr/>
      </xdr:nvSpPr>
      <xdr:spPr>
        <a:xfrm>
          <a:off x="4070889" y="2494959"/>
          <a:ext cx="4176413" cy="1683427"/>
        </a:xfrm>
        <a:prstGeom prst="roundRect">
          <a:avLst>
            <a:gd name="adj" fmla="val 10985"/>
          </a:avLst>
        </a:prstGeom>
        <a:solidFill>
          <a:schemeClr val="bg1">
            <a:alpha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417285</xdr:colOff>
      <xdr:row>9</xdr:row>
      <xdr:rowOff>117929</xdr:rowOff>
    </xdr:from>
    <xdr:to>
      <xdr:col>26</xdr:col>
      <xdr:colOff>553150</xdr:colOff>
      <xdr:row>12</xdr:row>
      <xdr:rowOff>69750</xdr:rowOff>
    </xdr:to>
    <xdr:sp macro="" textlink="">
      <xdr:nvSpPr>
        <xdr:cNvPr id="8" name="Rounded Rectangle 14">
          <a:extLst>
            <a:ext uri="{FF2B5EF4-FFF2-40B4-BE49-F238E27FC236}">
              <a16:creationId xmlns:a16="http://schemas.microsoft.com/office/drawing/2014/main" id="{A074C5BA-A575-4340-A72C-5916B6886C8E}"/>
            </a:ext>
          </a:extLst>
        </xdr:cNvPr>
        <xdr:cNvSpPr/>
      </xdr:nvSpPr>
      <xdr:spPr>
        <a:xfrm>
          <a:off x="2821214" y="1768929"/>
          <a:ext cx="13679507" cy="496107"/>
        </a:xfrm>
        <a:prstGeom prst="roundRect">
          <a:avLst>
            <a:gd name="adj" fmla="val 10985"/>
          </a:avLst>
        </a:prstGeom>
        <a:solidFill>
          <a:schemeClr val="bg1">
            <a:alpha val="1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54BCBA-A772-49CE-8D09-AA66B7B05369}" name="Table1" displayName="Table1" ref="B16:K31" totalsRowShown="0" headerRowDxfId="13" headerRowCellStyle="Normal 2">
  <autoFilter ref="B16:K31" xr:uid="{0A54BCBA-A772-49CE-8D09-AA66B7B05369}"/>
  <tableColumns count="10">
    <tableColumn id="1" xr3:uid="{BCEEDA3A-3860-46B9-B4DD-EA149E807AD9}" name="Task ID" dataDxfId="12"/>
    <tableColumn id="2" xr3:uid="{C270810F-45C7-4D86-A6F0-C6A17394CBAC}" name="Task Name"/>
    <tableColumn id="3" xr3:uid="{F6C1DF93-F901-4DD3-A15E-B2F6633CFF2C}" name="Team"/>
    <tableColumn id="4" xr3:uid="{A6897F33-BF2B-48A1-B744-5C5F8AB4FF2B}" name="Task Owner"/>
    <tableColumn id="5" xr3:uid="{424B0659-2559-41A9-9FC7-A65E7AEA61AE}" name="Start Date" dataDxfId="11"/>
    <tableColumn id="6" xr3:uid="{064F36FD-FDC0-4CA4-BC42-7EDAA618FD89}" name="Due Date" dataDxfId="10"/>
    <tableColumn id="7" xr3:uid="{AD789F37-7045-4C58-9142-CF4CAE5A7A9F}" name="Task Duration" dataDxfId="9">
      <calculatedColumnFormula>Table1[[#This Row],[Due Date]]-Table1[[#This Row],[Start Date]]</calculatedColumnFormula>
    </tableColumn>
    <tableColumn id="8" xr3:uid="{494AC0F2-DFE1-464A-9617-AD6C2417A435}" name="Status" dataDxfId="8"/>
    <tableColumn id="9" xr3:uid="{566E31EF-C4D1-4783-9673-D007B0C36720}" name="Overdue?" dataDxfId="7">
      <calculatedColumnFormula>AND(Table1[[#This Row],[Status]]&lt;&gt;"Completed",Table1[[#This Row],[Due Date]]&lt;TODAY())</calculatedColumnFormula>
    </tableColumn>
    <tableColumn id="10" xr3:uid="{1AEFD601-6C9B-4FC4-8321-4D39B819F52A}" name="Comme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5F81-A35B-416D-A580-B51D1F804EE6}">
  <dimension ref="B16:Q38"/>
  <sheetViews>
    <sheetView showGridLines="0" tabSelected="1" zoomScale="65" zoomScaleNormal="65" workbookViewId="0">
      <selection activeCell="N12" sqref="N12"/>
    </sheetView>
  </sheetViews>
  <sheetFormatPr defaultRowHeight="14.5" x14ac:dyDescent="0.35"/>
  <cols>
    <col min="2" max="2" width="13.1796875" bestFit="1" customWidth="1"/>
    <col min="3" max="3" width="33.7265625" bestFit="1" customWidth="1"/>
    <col min="4" max="4" width="11.81640625" bestFit="1" customWidth="1"/>
    <col min="5" max="5" width="16.7265625" bestFit="1" customWidth="1"/>
    <col min="6" max="6" width="15.54296875" bestFit="1" customWidth="1"/>
    <col min="7" max="7" width="15" bestFit="1" customWidth="1"/>
    <col min="8" max="8" width="18.6328125" bestFit="1" customWidth="1"/>
    <col min="9" max="9" width="12.54296875" bestFit="1" customWidth="1"/>
    <col min="10" max="10" width="15.26953125" bestFit="1" customWidth="1"/>
    <col min="11" max="11" width="45.1796875" bestFit="1" customWidth="1"/>
  </cols>
  <sheetData>
    <row r="16" spans="2:11" x14ac:dyDescent="0.35">
      <c r="B16" s="1" t="s">
        <v>0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5</v>
      </c>
      <c r="H16" s="1" t="s">
        <v>6</v>
      </c>
      <c r="I16" s="1" t="s">
        <v>7</v>
      </c>
      <c r="J16" s="1" t="s">
        <v>8</v>
      </c>
      <c r="K16" s="1" t="s">
        <v>9</v>
      </c>
    </row>
    <row r="17" spans="2:17" x14ac:dyDescent="0.35">
      <c r="B17" s="2" t="s">
        <v>10</v>
      </c>
      <c r="C17" t="s">
        <v>11</v>
      </c>
      <c r="D17" t="s">
        <v>12</v>
      </c>
      <c r="E17" t="s">
        <v>13</v>
      </c>
      <c r="F17" s="3">
        <v>45902</v>
      </c>
      <c r="G17" s="3">
        <v>45920</v>
      </c>
      <c r="H17" s="6">
        <f>Table1[[#This Row],[Due Date]]-Table1[[#This Row],[Start Date]]</f>
        <v>18</v>
      </c>
      <c r="I17" s="2" t="s">
        <v>14</v>
      </c>
      <c r="J17" s="2" t="b">
        <f ca="1">AND(Table1[[#This Row],[Status]]&lt;&gt;"Completed",Table1[[#This Row],[Due Date]]&lt;TODAY())</f>
        <v>0</v>
      </c>
      <c r="K17" t="s">
        <v>15</v>
      </c>
    </row>
    <row r="18" spans="2:17" x14ac:dyDescent="0.35">
      <c r="B18" s="2" t="s">
        <v>16</v>
      </c>
      <c r="C18" t="s">
        <v>17</v>
      </c>
      <c r="D18" t="s">
        <v>18</v>
      </c>
      <c r="E18" t="s">
        <v>13</v>
      </c>
      <c r="F18" s="3">
        <v>45905</v>
      </c>
      <c r="G18" s="3">
        <v>45925</v>
      </c>
      <c r="H18" s="6">
        <f>Table1[[#This Row],[Due Date]]-Table1[[#This Row],[Start Date]]</f>
        <v>20</v>
      </c>
      <c r="I18" s="2" t="s">
        <v>14</v>
      </c>
      <c r="J18" s="2" t="b">
        <f ca="1">AND(Table1[[#This Row],[Status]]&lt;&gt;"Completed",Table1[[#This Row],[Due Date]]&lt;TODAY())</f>
        <v>0</v>
      </c>
      <c r="K18" t="s">
        <v>19</v>
      </c>
    </row>
    <row r="19" spans="2:17" x14ac:dyDescent="0.35">
      <c r="B19" s="2" t="s">
        <v>20</v>
      </c>
      <c r="C19" t="s">
        <v>21</v>
      </c>
      <c r="D19" t="s">
        <v>18</v>
      </c>
      <c r="E19" t="s">
        <v>22</v>
      </c>
      <c r="F19" s="3">
        <v>45848</v>
      </c>
      <c r="G19" s="3">
        <v>45874</v>
      </c>
      <c r="H19" s="6">
        <f>Table1[[#This Row],[Due Date]]-Table1[[#This Row],[Start Date]]</f>
        <v>26</v>
      </c>
      <c r="I19" s="2" t="s">
        <v>23</v>
      </c>
      <c r="J19" s="2" t="b">
        <f ca="1">AND(Table1[[#This Row],[Status]]&lt;&gt;"Completed",Table1[[#This Row],[Due Date]]&lt;TODAY())</f>
        <v>1</v>
      </c>
      <c r="K19" t="s">
        <v>24</v>
      </c>
    </row>
    <row r="20" spans="2:17" x14ac:dyDescent="0.35">
      <c r="B20" s="2" t="s">
        <v>25</v>
      </c>
      <c r="C20" t="s">
        <v>26</v>
      </c>
      <c r="D20" t="s">
        <v>12</v>
      </c>
      <c r="E20" t="s">
        <v>13</v>
      </c>
      <c r="F20" s="3">
        <v>45912</v>
      </c>
      <c r="G20" s="3">
        <v>45930</v>
      </c>
      <c r="H20" s="6">
        <f>Table1[[#This Row],[Due Date]]-Table1[[#This Row],[Start Date]]</f>
        <v>18</v>
      </c>
      <c r="I20" s="2" t="s">
        <v>14</v>
      </c>
      <c r="J20" s="2" t="b">
        <f ca="1">AND(Table1[[#This Row],[Status]]&lt;&gt;"Completed",Table1[[#This Row],[Due Date]]&lt;TODAY())</f>
        <v>0</v>
      </c>
      <c r="K20" t="s">
        <v>27</v>
      </c>
    </row>
    <row r="21" spans="2:17" x14ac:dyDescent="0.35">
      <c r="B21" s="2" t="s">
        <v>28</v>
      </c>
      <c r="C21" t="s">
        <v>29</v>
      </c>
      <c r="D21" t="s">
        <v>18</v>
      </c>
      <c r="E21" t="s">
        <v>30</v>
      </c>
      <c r="F21" s="3">
        <v>45915</v>
      </c>
      <c r="G21" s="3">
        <v>45940</v>
      </c>
      <c r="H21" s="6">
        <f>Table1[[#This Row],[Due Date]]-Table1[[#This Row],[Start Date]]</f>
        <v>25</v>
      </c>
      <c r="I21" s="2" t="s">
        <v>23</v>
      </c>
      <c r="J21" s="2" t="b">
        <f ca="1">AND(Table1[[#This Row],[Status]]&lt;&gt;"Completed",Table1[[#This Row],[Due Date]]&lt;TODAY())</f>
        <v>1</v>
      </c>
      <c r="K21" t="s">
        <v>31</v>
      </c>
    </row>
    <row r="22" spans="2:17" x14ac:dyDescent="0.35">
      <c r="B22" s="2" t="s">
        <v>32</v>
      </c>
      <c r="C22" t="s">
        <v>33</v>
      </c>
      <c r="D22" t="s">
        <v>34</v>
      </c>
      <c r="E22" t="s">
        <v>22</v>
      </c>
      <c r="F22" s="3">
        <v>45918</v>
      </c>
      <c r="G22" s="3">
        <v>45945</v>
      </c>
      <c r="H22" s="6">
        <f>Table1[[#This Row],[Due Date]]-Table1[[#This Row],[Start Date]]</f>
        <v>27</v>
      </c>
      <c r="I22" s="2" t="s">
        <v>23</v>
      </c>
      <c r="J22" s="2" t="b">
        <f ca="1">AND(Table1[[#This Row],[Status]]&lt;&gt;"Completed",Table1[[#This Row],[Due Date]]&lt;TODAY())</f>
        <v>1</v>
      </c>
      <c r="K22" t="s">
        <v>35</v>
      </c>
    </row>
    <row r="23" spans="2:17" x14ac:dyDescent="0.35">
      <c r="B23" s="2" t="s">
        <v>36</v>
      </c>
      <c r="C23" t="s">
        <v>37</v>
      </c>
      <c r="D23" t="s">
        <v>34</v>
      </c>
      <c r="E23" t="s">
        <v>38</v>
      </c>
      <c r="F23" s="3">
        <v>45889</v>
      </c>
      <c r="G23" s="3">
        <v>45896</v>
      </c>
      <c r="H23" s="6">
        <f>Table1[[#This Row],[Due Date]]-Table1[[#This Row],[Start Date]]</f>
        <v>7</v>
      </c>
      <c r="I23" s="2" t="s">
        <v>39</v>
      </c>
      <c r="J23" s="2" t="b">
        <f ca="1">AND(Table1[[#This Row],[Status]]&lt;&gt;"Completed",Table1[[#This Row],[Due Date]]&lt;TODAY())</f>
        <v>1</v>
      </c>
      <c r="K23" t="s">
        <v>40</v>
      </c>
    </row>
    <row r="24" spans="2:17" x14ac:dyDescent="0.35">
      <c r="B24" s="2" t="s">
        <v>41</v>
      </c>
      <c r="C24" t="s">
        <v>42</v>
      </c>
      <c r="D24" t="s">
        <v>43</v>
      </c>
      <c r="E24" t="s">
        <v>38</v>
      </c>
      <c r="F24" s="3">
        <v>45922</v>
      </c>
      <c r="G24" s="3">
        <v>45942</v>
      </c>
      <c r="H24" s="6">
        <f>Table1[[#This Row],[Due Date]]-Table1[[#This Row],[Start Date]]</f>
        <v>20</v>
      </c>
      <c r="I24" s="2" t="s">
        <v>23</v>
      </c>
      <c r="J24" s="2" t="b">
        <f ca="1">AND(Table1[[#This Row],[Status]]&lt;&gt;"Completed",Table1[[#This Row],[Due Date]]&lt;TODAY())</f>
        <v>1</v>
      </c>
      <c r="K24" t="s">
        <v>44</v>
      </c>
    </row>
    <row r="25" spans="2:17" x14ac:dyDescent="0.35">
      <c r="B25" s="2" t="s">
        <v>45</v>
      </c>
      <c r="C25" t="s">
        <v>46</v>
      </c>
      <c r="D25" t="s">
        <v>34</v>
      </c>
      <c r="E25" t="s">
        <v>13</v>
      </c>
      <c r="F25" s="3">
        <v>45923</v>
      </c>
      <c r="G25" s="3">
        <v>45950</v>
      </c>
      <c r="H25" s="6">
        <f>Table1[[#This Row],[Due Date]]-Table1[[#This Row],[Start Date]]</f>
        <v>27</v>
      </c>
      <c r="I25" s="2" t="s">
        <v>14</v>
      </c>
      <c r="J25" s="2" t="b">
        <f ca="1">AND(Table1[[#This Row],[Status]]&lt;&gt;"Completed",Table1[[#This Row],[Due Date]]&lt;TODAY())</f>
        <v>0</v>
      </c>
      <c r="K25" t="s">
        <v>47</v>
      </c>
    </row>
    <row r="26" spans="2:17" x14ac:dyDescent="0.35">
      <c r="B26" s="2" t="s">
        <v>48</v>
      </c>
      <c r="C26" t="s">
        <v>49</v>
      </c>
      <c r="D26" t="s">
        <v>34</v>
      </c>
      <c r="E26" t="s">
        <v>13</v>
      </c>
      <c r="F26" s="3">
        <v>45924</v>
      </c>
      <c r="G26" s="3">
        <v>45935</v>
      </c>
      <c r="H26" s="6">
        <f>Table1[[#This Row],[Due Date]]-Table1[[#This Row],[Start Date]]</f>
        <v>11</v>
      </c>
      <c r="I26" s="2" t="s">
        <v>23</v>
      </c>
      <c r="J26" s="2" t="b">
        <f ca="1">AND(Table1[[#This Row],[Status]]&lt;&gt;"Completed",Table1[[#This Row],[Due Date]]&lt;TODAY())</f>
        <v>1</v>
      </c>
      <c r="K26" t="s">
        <v>50</v>
      </c>
    </row>
    <row r="27" spans="2:17" x14ac:dyDescent="0.35">
      <c r="B27" s="2" t="s">
        <v>51</v>
      </c>
      <c r="C27" t="s">
        <v>52</v>
      </c>
      <c r="D27" t="s">
        <v>12</v>
      </c>
      <c r="E27" t="s">
        <v>22</v>
      </c>
      <c r="F27" s="3">
        <v>45925</v>
      </c>
      <c r="G27" s="3">
        <v>45932</v>
      </c>
      <c r="H27" s="6">
        <f>Table1[[#This Row],[Due Date]]-Table1[[#This Row],[Start Date]]</f>
        <v>7</v>
      </c>
      <c r="I27" s="2" t="s">
        <v>14</v>
      </c>
      <c r="J27" s="2" t="b">
        <f ca="1">AND(Table1[[#This Row],[Status]]&lt;&gt;"Completed",Table1[[#This Row],[Due Date]]&lt;TODAY())</f>
        <v>0</v>
      </c>
      <c r="K27" t="s">
        <v>53</v>
      </c>
    </row>
    <row r="28" spans="2:17" ht="16" x14ac:dyDescent="0.4">
      <c r="B28" s="2" t="s">
        <v>54</v>
      </c>
      <c r="C28" t="s">
        <v>55</v>
      </c>
      <c r="D28" s="4" t="s">
        <v>18</v>
      </c>
      <c r="E28" t="s">
        <v>13</v>
      </c>
      <c r="F28" s="3">
        <v>45926</v>
      </c>
      <c r="G28" s="3">
        <v>45960</v>
      </c>
      <c r="H28" s="6">
        <f>Table1[[#This Row],[Due Date]]-Table1[[#This Row],[Start Date]]</f>
        <v>34</v>
      </c>
      <c r="I28" s="2" t="s">
        <v>14</v>
      </c>
      <c r="J28" s="2" t="b">
        <f ca="1">AND(Table1[[#This Row],[Status]]&lt;&gt;"Completed",Table1[[#This Row],[Due Date]]&lt;TODAY())</f>
        <v>0</v>
      </c>
      <c r="K28" t="s">
        <v>56</v>
      </c>
    </row>
    <row r="29" spans="2:17" ht="16" x14ac:dyDescent="0.4">
      <c r="B29" s="2" t="s">
        <v>57</v>
      </c>
      <c r="C29" t="s">
        <v>58</v>
      </c>
      <c r="D29" s="4" t="s">
        <v>18</v>
      </c>
      <c r="E29" t="s">
        <v>59</v>
      </c>
      <c r="F29" s="3">
        <v>45927</v>
      </c>
      <c r="G29" s="3">
        <v>45937</v>
      </c>
      <c r="H29" s="6">
        <f>Table1[[#This Row],[Due Date]]-Table1[[#This Row],[Start Date]]</f>
        <v>10</v>
      </c>
      <c r="I29" s="2" t="s">
        <v>23</v>
      </c>
      <c r="J29" s="2" t="b">
        <f ca="1">AND(Table1[[#This Row],[Status]]&lt;&gt;"Completed",Table1[[#This Row],[Due Date]]&lt;TODAY())</f>
        <v>1</v>
      </c>
      <c r="K29" t="s">
        <v>60</v>
      </c>
    </row>
    <row r="30" spans="2:17" x14ac:dyDescent="0.35">
      <c r="B30" s="2" t="s">
        <v>61</v>
      </c>
      <c r="C30" t="s">
        <v>62</v>
      </c>
      <c r="D30" t="s">
        <v>18</v>
      </c>
      <c r="E30" t="s">
        <v>59</v>
      </c>
      <c r="F30" s="3">
        <v>45928</v>
      </c>
      <c r="G30" s="3">
        <v>45948</v>
      </c>
      <c r="H30" s="6">
        <f>Table1[[#This Row],[Due Date]]-Table1[[#This Row],[Start Date]]</f>
        <v>20</v>
      </c>
      <c r="I30" s="2" t="s">
        <v>14</v>
      </c>
      <c r="J30" s="2" t="b">
        <f ca="1">AND(Table1[[#This Row],[Status]]&lt;&gt;"Completed",Table1[[#This Row],[Due Date]]&lt;TODAY())</f>
        <v>0</v>
      </c>
      <c r="K30" t="s">
        <v>63</v>
      </c>
    </row>
    <row r="31" spans="2:17" x14ac:dyDescent="0.35">
      <c r="B31" s="2" t="s">
        <v>64</v>
      </c>
      <c r="C31" t="s">
        <v>65</v>
      </c>
      <c r="D31" t="s">
        <v>12</v>
      </c>
      <c r="E31" t="s">
        <v>59</v>
      </c>
      <c r="F31" s="3">
        <v>45929</v>
      </c>
      <c r="G31" s="3">
        <v>45934</v>
      </c>
      <c r="H31" s="6">
        <f>Table1[[#This Row],[Due Date]]-Table1[[#This Row],[Start Date]]</f>
        <v>5</v>
      </c>
      <c r="I31" s="2" t="s">
        <v>39</v>
      </c>
      <c r="J31" s="2" t="b">
        <f ca="1">AND(Table1[[#This Row],[Status]]&lt;&gt;"Completed",Table1[[#This Row],[Due Date]]&lt;TODAY())</f>
        <v>1</v>
      </c>
      <c r="K31" t="s">
        <v>66</v>
      </c>
      <c r="Q31" t="s">
        <v>71</v>
      </c>
    </row>
    <row r="38" spans="11:12" x14ac:dyDescent="0.35">
      <c r="K38" s="3"/>
      <c r="L38" s="3"/>
    </row>
  </sheetData>
  <conditionalFormatting sqref="I17:I31">
    <cfRule type="cellIs" dxfId="6" priority="2" operator="equal">
      <formula>"NOT STARTED"</formula>
    </cfRule>
    <cfRule type="cellIs" dxfId="5" priority="3" operator="equal">
      <formula>"IN PROGRESS"</formula>
    </cfRule>
    <cfRule type="cellIs" dxfId="4" priority="4" operator="equal">
      <formula>"COMPLETED"</formula>
    </cfRule>
    <cfRule type="cellIs" dxfId="3" priority="5" operator="equal">
      <formula>"NOT STARTED"</formula>
    </cfRule>
    <cfRule type="cellIs" dxfId="2" priority="6" operator="equal">
      <formula>"IN PROGRESS"</formula>
    </cfRule>
    <cfRule type="cellIs" dxfId="1" priority="7" operator="equal">
      <formula>"COMPLETED"</formula>
    </cfRule>
  </conditionalFormatting>
  <conditionalFormatting sqref="J17:J31">
    <cfRule type="cellIs" dxfId="0" priority="1" operator="equal">
      <formula>TRUE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2661F67-18FF-4C53-B7A0-BAF77EE3E2C7}">
          <x14:formula1>
            <xm:f>'SUPPORT SHEET'!$E$3:$E$7</xm:f>
          </x14:formula1>
          <xm:sqref>E17:E31</xm:sqref>
        </x14:dataValidation>
        <x14:dataValidation type="list" allowBlank="1" showInputMessage="1" showErrorMessage="1" xr:uid="{29F292BF-145A-41B0-8216-CA7E2C3BFA03}">
          <x14:formula1>
            <xm:f>'SUPPORT SHEET'!$H$3:$H$6</xm:f>
          </x14:formula1>
          <xm:sqref>D17:D31</xm:sqref>
        </x14:dataValidation>
        <x14:dataValidation type="list" allowBlank="1" showInputMessage="1" showErrorMessage="1" xr:uid="{82647582-42DD-46A8-BC90-389C903EE0B3}">
          <x14:formula1>
            <xm:f>'SUPPORT SHEET'!$B$3:$B$5</xm:f>
          </x14:formula1>
          <xm:sqref>I17:I31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E1B7-0FE6-43E3-866A-921084A21BF6}">
  <dimension ref="B2:K7"/>
  <sheetViews>
    <sheetView zoomScale="70" zoomScaleNormal="70" workbookViewId="0">
      <selection activeCell="R8" sqref="R8"/>
    </sheetView>
  </sheetViews>
  <sheetFormatPr defaultRowHeight="14.5" x14ac:dyDescent="0.35"/>
  <cols>
    <col min="2" max="2" width="10.26953125" bestFit="1" customWidth="1"/>
    <col min="3" max="3" width="6.7265625" bestFit="1" customWidth="1"/>
    <col min="5" max="5" width="13" bestFit="1" customWidth="1"/>
    <col min="6" max="6" width="7.90625" bestFit="1" customWidth="1"/>
    <col min="8" max="8" width="9.26953125" bestFit="1" customWidth="1"/>
    <col min="9" max="9" width="6.7265625" bestFit="1" customWidth="1"/>
    <col min="11" max="11" width="9.08984375" bestFit="1" customWidth="1"/>
  </cols>
  <sheetData>
    <row r="2" spans="2:11" ht="16" x14ac:dyDescent="0.4">
      <c r="B2" s="5" t="s">
        <v>7</v>
      </c>
      <c r="C2" s="5" t="s">
        <v>67</v>
      </c>
      <c r="E2" s="5" t="s">
        <v>68</v>
      </c>
      <c r="F2" s="5" t="s">
        <v>67</v>
      </c>
      <c r="H2" s="5" t="s">
        <v>2</v>
      </c>
      <c r="I2" s="5" t="s">
        <v>67</v>
      </c>
      <c r="K2" s="5" t="s">
        <v>69</v>
      </c>
    </row>
    <row r="3" spans="2:11" x14ac:dyDescent="0.35">
      <c r="B3" t="s">
        <v>14</v>
      </c>
      <c r="C3" s="2">
        <f>COUNTIF(Table1[Status],'SUPPORT SHEET'!B3)</f>
        <v>7</v>
      </c>
      <c r="E3" t="s">
        <v>13</v>
      </c>
      <c r="F3" s="2">
        <f>COUNTIF(Table1[Task Owner],'SUPPORT SHEET'!E3)</f>
        <v>6</v>
      </c>
      <c r="H3" t="s">
        <v>12</v>
      </c>
      <c r="I3" s="2">
        <f>COUNTIF(Table1[Team],'SUPPORT SHEET'!H3)</f>
        <v>4</v>
      </c>
      <c r="K3" s="2">
        <f ca="1">COUNTIF(Table1[Overdue?],TRUE)</f>
        <v>8</v>
      </c>
    </row>
    <row r="4" spans="2:11" x14ac:dyDescent="0.35">
      <c r="B4" t="s">
        <v>23</v>
      </c>
      <c r="C4" s="2">
        <f>COUNTIF(Table1[Status],'SUPPORT SHEET'!B4)</f>
        <v>6</v>
      </c>
      <c r="E4" t="s">
        <v>22</v>
      </c>
      <c r="F4" s="2">
        <f>COUNTIF(Table1[Task Owner],'SUPPORT SHEET'!E4)</f>
        <v>3</v>
      </c>
      <c r="H4" t="s">
        <v>18</v>
      </c>
      <c r="I4" s="2">
        <f>COUNTIF(Table1[Team],'SUPPORT SHEET'!H4)</f>
        <v>6</v>
      </c>
    </row>
    <row r="5" spans="2:11" x14ac:dyDescent="0.35">
      <c r="B5" t="s">
        <v>39</v>
      </c>
      <c r="C5" s="2">
        <f>COUNTIF(Table1[Status],'SUPPORT SHEET'!B5)</f>
        <v>2</v>
      </c>
      <c r="E5" t="s">
        <v>30</v>
      </c>
      <c r="F5" s="2">
        <f>COUNTIF(Table1[Task Owner],'SUPPORT SHEET'!E5)</f>
        <v>1</v>
      </c>
      <c r="H5" t="s">
        <v>34</v>
      </c>
      <c r="I5" s="2">
        <f>COUNTIF(Table1[Team],'SUPPORT SHEET'!H5)</f>
        <v>4</v>
      </c>
    </row>
    <row r="6" spans="2:11" x14ac:dyDescent="0.35">
      <c r="B6" t="s">
        <v>70</v>
      </c>
      <c r="C6" s="2">
        <f>SUM(C3:C5)</f>
        <v>15</v>
      </c>
      <c r="E6" t="s">
        <v>38</v>
      </c>
      <c r="F6" s="2">
        <f>COUNTIF(Table1[Task Owner],'SUPPORT SHEET'!E6)</f>
        <v>2</v>
      </c>
      <c r="H6" t="s">
        <v>43</v>
      </c>
      <c r="I6" s="2">
        <f>COUNTIF(Table1[Team],'SUPPORT SHEET'!H6)</f>
        <v>1</v>
      </c>
    </row>
    <row r="7" spans="2:11" x14ac:dyDescent="0.35">
      <c r="E7" t="s">
        <v>59</v>
      </c>
      <c r="F7" s="2">
        <f>COUNTIF(Table1[Task Owner],'SUPPORT SHEET'!E7)</f>
        <v>3</v>
      </c>
      <c r="I7" s="2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56cb6de-69f3-41b4-9155-b3c05879b0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A572E7BC64DC4C884D9F194786D9A8" ma:contentTypeVersion="12" ma:contentTypeDescription="Create a new document." ma:contentTypeScope="" ma:versionID="d5acbc2ba47b338a70571b76ffb61a15">
  <xsd:schema xmlns:xsd="http://www.w3.org/2001/XMLSchema" xmlns:xs="http://www.w3.org/2001/XMLSchema" xmlns:p="http://schemas.microsoft.com/office/2006/metadata/properties" xmlns:ns3="c56cb6de-69f3-41b4-9155-b3c05879b0ad" xmlns:ns4="ce365cd3-ac5d-40d5-8d9f-70cd62f0951f" targetNamespace="http://schemas.microsoft.com/office/2006/metadata/properties" ma:root="true" ma:fieldsID="2966ea16f084cc53a3a00882c9883c44" ns3:_="" ns4:_="">
    <xsd:import namespace="c56cb6de-69f3-41b4-9155-b3c05879b0ad"/>
    <xsd:import namespace="ce365cd3-ac5d-40d5-8d9f-70cd62f095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6cb6de-69f3-41b4-9155-b3c05879b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65cd3-ac5d-40d5-8d9f-70cd62f095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129A52-D789-46BF-BAA5-FB52920BF177}">
  <ds:schemaRefs>
    <ds:schemaRef ds:uri="http://schemas.microsoft.com/office/infopath/2007/PartnerControls"/>
    <ds:schemaRef ds:uri="http://www.w3.org/XML/1998/namespace"/>
    <ds:schemaRef ds:uri="ce365cd3-ac5d-40d5-8d9f-70cd62f0951f"/>
    <ds:schemaRef ds:uri="c56cb6de-69f3-41b4-9155-b3c05879b0ad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2E64816-8E4A-4C66-829F-3E7FDE974E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F96C1A-546E-4253-8950-E51C9856F0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6cb6de-69f3-41b4-9155-b3c05879b0ad"/>
    <ds:schemaRef ds:uri="ce365cd3-ac5d-40d5-8d9f-70cd62f095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SUPPORT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RIYASHAD</dc:creator>
  <cp:lastModifiedBy>MOHAMMED RIYASHAD</cp:lastModifiedBy>
  <dcterms:created xsi:type="dcterms:W3CDTF">2026-01-07T17:19:15Z</dcterms:created>
  <dcterms:modified xsi:type="dcterms:W3CDTF">2026-01-11T05:39:59Z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0x01010053A572E7BC64DC4C884D9F194786D9A8</vt:lpwstr>
  </property>
</Properties>
</file>