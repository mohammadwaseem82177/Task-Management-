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Excel Project\Task Management\"/>
    </mc:Choice>
  </mc:AlternateContent>
  <xr:revisionPtr revIDLastSave="0" documentId="13_ncr:1_{BC7072E0-5C75-41F0-856E-112AFEFE60F4}" xr6:coauthVersionLast="47" xr6:coauthVersionMax="47" xr10:uidLastSave="{00000000-0000-0000-0000-000000000000}"/>
  <bookViews>
    <workbookView xWindow="-110" yWindow="-110" windowWidth="19420" windowHeight="10300" xr2:uid="{79A86EC9-CA2A-4CC0-8A23-9468AA9EB68D}"/>
  </bookViews>
  <sheets>
    <sheet name="DASHBOARD" sheetId="1" r:id="rId1"/>
    <sheet name="SUPPORT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I5" i="2"/>
  <c r="I4" i="2"/>
  <c r="I3" i="2"/>
  <c r="F7" i="2"/>
  <c r="F6" i="2"/>
  <c r="F5" i="2"/>
  <c r="F4" i="2"/>
  <c r="F3" i="2"/>
  <c r="C5" i="2"/>
  <c r="C4" i="2"/>
  <c r="C3" i="2"/>
  <c r="C6" i="2" l="1"/>
  <c r="K3" i="2"/>
</calcChain>
</file>

<file path=xl/sharedStrings.xml><?xml version="1.0" encoding="utf-8"?>
<sst xmlns="http://schemas.openxmlformats.org/spreadsheetml/2006/main" count="121" uniqueCount="72">
  <si>
    <t>Task ID</t>
  </si>
  <si>
    <t>Task Name</t>
  </si>
  <si>
    <t>Team</t>
  </si>
  <si>
    <t>Task Owner</t>
  </si>
  <si>
    <t>Start Date</t>
  </si>
  <si>
    <t>Due Date</t>
  </si>
  <si>
    <t>Task Duration</t>
  </si>
  <si>
    <t>Status</t>
  </si>
  <si>
    <t>Overdue?</t>
  </si>
  <si>
    <t>Comments</t>
  </si>
  <si>
    <t>T001</t>
  </si>
  <si>
    <t>Prepare Q4 Financial Report</t>
  </si>
  <si>
    <t>Finance</t>
  </si>
  <si>
    <t>Sarah Johnson</t>
  </si>
  <si>
    <t>Completed</t>
  </si>
  <si>
    <t>Submitted to CFO for review.</t>
  </si>
  <si>
    <t>T002</t>
  </si>
  <si>
    <t>Conduct Market Research</t>
  </si>
  <si>
    <t>Strategy</t>
  </si>
  <si>
    <t>Draft findings ready; awaiting survey data.</t>
  </si>
  <si>
    <t>T003</t>
  </si>
  <si>
    <t>Redesign Website Homepage</t>
  </si>
  <si>
    <t>David Kim</t>
  </si>
  <si>
    <t>In Progress</t>
  </si>
  <si>
    <t>Wireframes approved; development in progress.</t>
  </si>
  <si>
    <t>T004</t>
  </si>
  <si>
    <t>Update Sales Forecast for FY2026</t>
  </si>
  <si>
    <t>Final version shared with Sales Director.</t>
  </si>
  <si>
    <t>T005</t>
  </si>
  <si>
    <t>Implement CRM Upgrade</t>
  </si>
  <si>
    <t>James Miller</t>
  </si>
  <si>
    <t>Vendor confirmed delivery timeline.</t>
  </si>
  <si>
    <t>T006</t>
  </si>
  <si>
    <t>Plan Annual Company Retreat</t>
  </si>
  <si>
    <t>HR</t>
  </si>
  <si>
    <t>Venue options being shortlisted.</t>
  </si>
  <si>
    <t>T007</t>
  </si>
  <si>
    <t>Review Legal for Contracts</t>
  </si>
  <si>
    <t>Alex Chen</t>
  </si>
  <si>
    <t>Not Started</t>
  </si>
  <si>
    <t>Updated contracts aligned with new regulation.</t>
  </si>
  <si>
    <t>T008</t>
  </si>
  <si>
    <t>Launch Social Media Campaign</t>
  </si>
  <si>
    <t>Marketing</t>
  </si>
  <si>
    <t>Initial creatives approved, campaign scheduled.</t>
  </si>
  <si>
    <t>T009</t>
  </si>
  <si>
    <t>Recruit New Data Analyst</t>
  </si>
  <si>
    <t>First round of interviews completed.</t>
  </si>
  <si>
    <t>T010</t>
  </si>
  <si>
    <t>Conduct Employee Survey</t>
  </si>
  <si>
    <t>Survey questions finalized.</t>
  </si>
  <si>
    <t>T011</t>
  </si>
  <si>
    <t>Prepare Investor Presentation</t>
  </si>
  <si>
    <t>Draft slides ready; awaiting financial highlights.</t>
  </si>
  <si>
    <t>T012</t>
  </si>
  <si>
    <t>Upgrade Infrastructure</t>
  </si>
  <si>
    <t>External consultant engagement pending.</t>
  </si>
  <si>
    <t>T013</t>
  </si>
  <si>
    <t>Evaluate Vendor Proposals for Logistics</t>
  </si>
  <si>
    <t>Emily Davis</t>
  </si>
  <si>
    <t>Three proposals shortlisted for management review.</t>
  </si>
  <si>
    <t>T014</t>
  </si>
  <si>
    <t>Draft Q1 Marketing Strategy</t>
  </si>
  <si>
    <t>Kick-off meeting scheduled next week.</t>
  </si>
  <si>
    <t>T015</t>
  </si>
  <si>
    <t>Audit Internal Expense Reports</t>
  </si>
  <si>
    <t>Waiting for submission of all departmental reports.</t>
  </si>
  <si>
    <t>Count</t>
  </si>
  <si>
    <t>Owners</t>
  </si>
  <si>
    <t>Overdue</t>
  </si>
  <si>
    <t>Total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</si>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</sst>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2577A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/>
  </cellXfs>
  <cellStyles count="2">
    <cellStyle name="Normal" xfId="0" builtinId="0"/>
    <cellStyle name="Normal 2" xfId="1" xr:uid="{35F51A38-EA1F-4B2E-893B-B6B45A32B248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6666"/>
      <color rgb="FFFF3399"/>
      <color rgb="FFFF505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331107</xdr:colOff>
      <xdr:row>14</xdr:row>
      <xdr:rowOff>17236</xdr:rowOff>
    </xdr:from>
    <xdr:to>
      <xdr:col>19</xdr:col>
      <xdr:colOff>306517</xdr:colOff>
      <xdr:row>20</xdr:row>
      <xdr:rowOff>12401</xdr:rowOff>
    </xdr:to>
    <xdr:sp macro="" textlink="">
      <xdr:nvSpPr>
        <xdr:cNvPr id="2" name="Rounded Rectangle 14">
          <a:extLst>
            <a:ext uri="{FF2B5EF4-FFF2-40B4-BE49-F238E27FC236}">
              <a16:creationId xmlns:a16="http://schemas.microsoft.com/office/drawing/2014/main" id="{13DD27D5-EC2D-4AE0-AD16-455535062263}"/>
            </a:ext>
          </a:extLst>
        </xdr:cNvPr>
        <xdr:cNvSpPr/>
      </xdr:nvSpPr>
      <xdr:spPr>
        <a:xfrm>
          <a:off x="10808607" y="2575379"/>
          <a:ext cx="1190981" cy="1083736"/>
        </a:xfrm>
        <a:prstGeom prst="roundRect">
          <a:avLst>
            <a:gd name="adj" fmla="val 10985"/>
          </a:avLst>
        </a:prstGeom>
        <a:gradFill>
          <a:gsLst>
            <a:gs pos="17000">
              <a:srgbClr val="002060"/>
            </a:gs>
            <a:gs pos="45000">
              <a:schemeClr val="accent4">
                <a:lumMod val="60000"/>
                <a:lumOff val="40000"/>
              </a:schemeClr>
            </a:gs>
            <a:gs pos="72000">
              <a:srgbClr val="00B0F0"/>
            </a:gs>
            <a:gs pos="100000">
              <a:schemeClr val="bg1">
                <a:lumMod val="95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561099</xdr:colOff>
      <xdr:row>13</xdr:row>
      <xdr:rowOff>105316</xdr:rowOff>
    </xdr:from>
    <xdr:to>
      <xdr:col>16</xdr:col>
      <xdr:colOff>452243</xdr:colOff>
      <xdr:row>22</xdr:row>
      <xdr:rowOff>73637</xdr:rowOff>
    </xdr:to>
    <xdr:sp macro="" textlink="">
      <xdr:nvSpPr>
        <xdr:cNvPr id="5" name="Rounded Rectangle 14">
          <a:extLst>
            <a:ext uri="{FF2B5EF4-FFF2-40B4-BE49-F238E27FC236}">
              <a16:creationId xmlns:a16="http://schemas.microsoft.com/office/drawing/2014/main" id="{AFEA97CA-29DA-40D4-942C-C7C0613D5032}"/>
            </a:ext>
          </a:extLst>
        </xdr:cNvPr>
        <xdr:cNvSpPr/>
      </xdr:nvSpPr>
      <xdr:spPr>
        <a:xfrm>
          <a:off x="8607456" y="2482030"/>
          <a:ext cx="1714501" cy="1601178"/>
        </a:xfrm>
        <a:prstGeom prst="roundRect">
          <a:avLst>
            <a:gd name="adj" fmla="val 10985"/>
          </a:avLst>
        </a:prstGeom>
        <a:solidFill>
          <a:schemeClr val="bg1">
            <a:alpha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409239</xdr:colOff>
      <xdr:row>13</xdr:row>
      <xdr:rowOff>115257</xdr:rowOff>
    </xdr:from>
    <xdr:to>
      <xdr:col>5</xdr:col>
      <xdr:colOff>494284</xdr:colOff>
      <xdr:row>17</xdr:row>
      <xdr:rowOff>105140</xdr:rowOff>
    </xdr:to>
    <xdr:sp macro="" textlink="">
      <xdr:nvSpPr>
        <xdr:cNvPr id="6" name="Rounded Rectangle 14">
          <a:extLst>
            <a:ext uri="{FF2B5EF4-FFF2-40B4-BE49-F238E27FC236}">
              <a16:creationId xmlns:a16="http://schemas.microsoft.com/office/drawing/2014/main" id="{9E5E9535-3FBB-42AF-AD07-20F55AB280F0}"/>
            </a:ext>
          </a:extLst>
        </xdr:cNvPr>
        <xdr:cNvSpPr/>
      </xdr:nvSpPr>
      <xdr:spPr>
        <a:xfrm>
          <a:off x="2813168" y="2491971"/>
          <a:ext cx="992187" cy="715598"/>
        </a:xfrm>
        <a:prstGeom prst="roundRect">
          <a:avLst>
            <a:gd name="adj" fmla="val 10985"/>
          </a:avLst>
        </a:prstGeom>
        <a:solidFill>
          <a:schemeClr val="bg1">
            <a:alpha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206460</xdr:colOff>
      <xdr:row>13</xdr:row>
      <xdr:rowOff>118245</xdr:rowOff>
    </xdr:from>
    <xdr:to>
      <xdr:col>13</xdr:col>
      <xdr:colOff>200945</xdr:colOff>
      <xdr:row>22</xdr:row>
      <xdr:rowOff>168815</xdr:rowOff>
    </xdr:to>
    <xdr:sp macro="" textlink="">
      <xdr:nvSpPr>
        <xdr:cNvPr id="7" name="Rounded Rectangle 14">
          <a:extLst>
            <a:ext uri="{FF2B5EF4-FFF2-40B4-BE49-F238E27FC236}">
              <a16:creationId xmlns:a16="http://schemas.microsoft.com/office/drawing/2014/main" id="{FF0621C3-314B-4561-8AFC-6B4E7D84B39F}"/>
            </a:ext>
          </a:extLst>
        </xdr:cNvPr>
        <xdr:cNvSpPr/>
      </xdr:nvSpPr>
      <xdr:spPr>
        <a:xfrm>
          <a:off x="4070889" y="2494959"/>
          <a:ext cx="4176413" cy="1683427"/>
        </a:xfrm>
        <a:prstGeom prst="roundRect">
          <a:avLst>
            <a:gd name="adj" fmla="val 10985"/>
          </a:avLst>
        </a:prstGeom>
        <a:solidFill>
          <a:schemeClr val="bg1">
            <a:alpha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417285</xdr:colOff>
      <xdr:row>9</xdr:row>
      <xdr:rowOff>117929</xdr:rowOff>
    </xdr:from>
    <xdr:to>
      <xdr:col>26</xdr:col>
      <xdr:colOff>553150</xdr:colOff>
      <xdr:row>12</xdr:row>
      <xdr:rowOff>69750</xdr:rowOff>
    </xdr:to>
    <xdr:sp macro="" textlink="">
      <xdr:nvSpPr>
        <xdr:cNvPr id="8" name="Rounded Rectangle 14">
          <a:extLst>
            <a:ext uri="{FF2B5EF4-FFF2-40B4-BE49-F238E27FC236}">
              <a16:creationId xmlns:a16="http://schemas.microsoft.com/office/drawing/2014/main" id="{A074C5BA-A575-4340-A72C-5916B6886C8E}"/>
            </a:ext>
          </a:extLst>
        </xdr:cNvPr>
        <xdr:cNvSpPr/>
      </xdr:nvSpPr>
      <xdr:spPr>
        <a:xfrm>
          <a:off x="2821214" y="1768929"/>
          <a:ext cx="13679507" cy="496107"/>
        </a:xfrm>
        <a:prstGeom prst="roundRect">
          <a:avLst>
            <a:gd name="adj" fmla="val 10985"/>
          </a:avLst>
        </a:prstGeom>
        <a:solidFill>
          <a:schemeClr val="bg1">
            <a:alpha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5F81-A35B-416D-A580-B51D1F804EE6}">
  <dimension ref="B2:Q38"/>
  <sheetViews>
    <sheetView tabSelected="1" zoomScale="65" zoomScaleNormal="65" workbookViewId="0">
      <selection activeCell="R19" sqref="R19"/>
    </sheetView>
  </sheetViews>
  <sheetFormatPr defaultRowHeight="14.5" x14ac:dyDescent="0.35"/>
  <cols>
    <col min="2" max="11" width="7.6328125" customWidth="1"/>
  </cols>
  <sheetData>
    <row r="2" spans="2:11" x14ac:dyDescent="0.3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</row>
    <row r="3" spans="2:11" x14ac:dyDescent="0.35">
      <c r="B3" t="s">
        <v>10</v>
      </c>
      <c r="C3" t="s">
        <v>11</v>
      </c>
      <c r="D3" t="s">
        <v>12</v>
      </c>
      <c r="E3" t="s">
        <v>13</v>
      </c>
      <c r="F3">
        <v>45902</v>
      </c>
      <c r="G3">
        <v>45920</v>
      </c>
      <c r="H3">
        <v>18</v>
      </c>
      <c r="I3" t="s">
        <v>14</v>
      </c>
      <c r="J3" t="b">
        <v>0</v>
      </c>
      <c r="K3" t="s">
        <v>15</v>
      </c>
    </row>
    <row r="4" spans="2:11" x14ac:dyDescent="0.35">
      <c r="B4" t="s">
        <v>16</v>
      </c>
      <c r="C4" t="s">
        <v>17</v>
      </c>
      <c r="D4" t="s">
        <v>18</v>
      </c>
      <c r="E4" t="s">
        <v>13</v>
      </c>
      <c r="F4">
        <v>45905</v>
      </c>
      <c r="G4">
        <v>45925</v>
      </c>
      <c r="H4">
        <v>20</v>
      </c>
      <c r="I4" t="s">
        <v>14</v>
      </c>
      <c r="J4" t="b">
        <v>0</v>
      </c>
      <c r="K4" t="s">
        <v>19</v>
      </c>
    </row>
    <row r="5" spans="2:11" x14ac:dyDescent="0.35">
      <c r="B5" t="s">
        <v>20</v>
      </c>
      <c r="C5" t="s">
        <v>21</v>
      </c>
      <c r="D5" t="s">
        <v>18</v>
      </c>
      <c r="E5" t="s">
        <v>22</v>
      </c>
      <c r="F5">
        <v>45848</v>
      </c>
      <c r="G5">
        <v>45874</v>
      </c>
      <c r="H5">
        <v>26</v>
      </c>
      <c r="I5" t="s">
        <v>23</v>
      </c>
      <c r="J5" t="b">
        <v>1</v>
      </c>
      <c r="K5" t="s">
        <v>24</v>
      </c>
    </row>
    <row r="6" spans="2:11" x14ac:dyDescent="0.35">
      <c r="B6" t="s">
        <v>25</v>
      </c>
      <c r="C6" t="s">
        <v>26</v>
      </c>
      <c r="D6" t="s">
        <v>12</v>
      </c>
      <c r="E6" t="s">
        <v>13</v>
      </c>
      <c r="F6">
        <v>45912</v>
      </c>
      <c r="G6">
        <v>45930</v>
      </c>
      <c r="H6">
        <v>18</v>
      </c>
      <c r="I6" t="s">
        <v>14</v>
      </c>
      <c r="J6" t="b">
        <v>0</v>
      </c>
      <c r="K6" t="s">
        <v>27</v>
      </c>
    </row>
    <row r="7" spans="2:11" x14ac:dyDescent="0.35">
      <c r="B7" t="s">
        <v>28</v>
      </c>
      <c r="C7" t="s">
        <v>29</v>
      </c>
      <c r="D7" t="s">
        <v>18</v>
      </c>
      <c r="E7" t="s">
        <v>30</v>
      </c>
      <c r="F7">
        <v>45915</v>
      </c>
      <c r="G7">
        <v>45940</v>
      </c>
      <c r="H7">
        <v>25</v>
      </c>
      <c r="I7" t="s">
        <v>23</v>
      </c>
      <c r="J7" t="b">
        <v>1</v>
      </c>
      <c r="K7" t="s">
        <v>31</v>
      </c>
    </row>
    <row r="8" spans="2:11" x14ac:dyDescent="0.35">
      <c r="B8" t="s">
        <v>32</v>
      </c>
      <c r="C8" t="s">
        <v>33</v>
      </c>
      <c r="D8" t="s">
        <v>34</v>
      </c>
      <c r="E8" t="s">
        <v>22</v>
      </c>
      <c r="F8">
        <v>45918</v>
      </c>
      <c r="G8">
        <v>45945</v>
      </c>
      <c r="H8">
        <v>27</v>
      </c>
      <c r="I8" t="s">
        <v>23</v>
      </c>
      <c r="J8" t="b">
        <v>1</v>
      </c>
      <c r="K8" t="s">
        <v>35</v>
      </c>
    </row>
    <row r="9" spans="2:11" x14ac:dyDescent="0.35">
      <c r="B9" t="s">
        <v>36</v>
      </c>
      <c r="C9" t="s">
        <v>37</v>
      </c>
      <c r="D9" t="s">
        <v>34</v>
      </c>
      <c r="E9" t="s">
        <v>38</v>
      </c>
      <c r="F9">
        <v>45889</v>
      </c>
      <c r="G9">
        <v>45896</v>
      </c>
      <c r="H9">
        <v>7</v>
      </c>
      <c r="I9" t="s">
        <v>39</v>
      </c>
      <c r="J9" t="b">
        <v>1</v>
      </c>
      <c r="K9" t="s">
        <v>40</v>
      </c>
    </row>
    <row r="10" spans="2:11" x14ac:dyDescent="0.35">
      <c r="B10" t="s">
        <v>41</v>
      </c>
      <c r="C10" t="s">
        <v>42</v>
      </c>
      <c r="D10" t="s">
        <v>43</v>
      </c>
      <c r="E10" t="s">
        <v>38</v>
      </c>
      <c r="F10">
        <v>45922</v>
      </c>
      <c r="G10">
        <v>45942</v>
      </c>
      <c r="H10">
        <v>20</v>
      </c>
      <c r="I10" t="s">
        <v>23</v>
      </c>
      <c r="J10" t="b">
        <v>1</v>
      </c>
      <c r="K10" t="s">
        <v>44</v>
      </c>
    </row>
    <row r="11" spans="2:11" x14ac:dyDescent="0.35">
      <c r="B11" t="s">
        <v>45</v>
      </c>
      <c r="C11" t="s">
        <v>46</v>
      </c>
      <c r="D11" t="s">
        <v>34</v>
      </c>
      <c r="E11" t="s">
        <v>13</v>
      </c>
      <c r="F11">
        <v>45923</v>
      </c>
      <c r="G11">
        <v>45950</v>
      </c>
      <c r="H11">
        <v>27</v>
      </c>
      <c r="I11" t="s">
        <v>14</v>
      </c>
      <c r="J11" t="b">
        <v>0</v>
      </c>
      <c r="K11" t="s">
        <v>47</v>
      </c>
    </row>
    <row r="12" spans="2:11" x14ac:dyDescent="0.35">
      <c r="B12" t="s">
        <v>48</v>
      </c>
      <c r="C12" t="s">
        <v>49</v>
      </c>
      <c r="D12" t="s">
        <v>34</v>
      </c>
      <c r="E12" t="s">
        <v>13</v>
      </c>
      <c r="F12">
        <v>45924</v>
      </c>
      <c r="G12">
        <v>45935</v>
      </c>
      <c r="H12">
        <v>11</v>
      </c>
      <c r="I12" t="s">
        <v>23</v>
      </c>
      <c r="J12" t="b">
        <v>1</v>
      </c>
      <c r="K12" t="s">
        <v>50</v>
      </c>
    </row>
    <row r="13" spans="2:11" x14ac:dyDescent="0.35">
      <c r="B13" t="s">
        <v>51</v>
      </c>
      <c r="C13" t="s">
        <v>52</v>
      </c>
      <c r="D13" t="s">
        <v>12</v>
      </c>
      <c r="E13" t="s">
        <v>22</v>
      </c>
      <c r="F13">
        <v>45925</v>
      </c>
      <c r="G13">
        <v>45932</v>
      </c>
      <c r="H13">
        <v>7</v>
      </c>
      <c r="I13" t="s">
        <v>14</v>
      </c>
      <c r="J13" t="b">
        <v>0</v>
      </c>
      <c r="K13" t="s">
        <v>53</v>
      </c>
    </row>
    <row r="14" spans="2:11" x14ac:dyDescent="0.35">
      <c r="B14" t="s">
        <v>54</v>
      </c>
      <c r="C14" t="s">
        <v>55</v>
      </c>
      <c r="D14" t="s">
        <v>18</v>
      </c>
      <c r="E14" t="s">
        <v>13</v>
      </c>
      <c r="F14">
        <v>45926</v>
      </c>
      <c r="G14">
        <v>45960</v>
      </c>
      <c r="H14">
        <v>34</v>
      </c>
      <c r="I14" t="s">
        <v>14</v>
      </c>
      <c r="J14" t="b">
        <v>0</v>
      </c>
      <c r="K14" t="s">
        <v>56</v>
      </c>
    </row>
    <row r="15" spans="2:11" x14ac:dyDescent="0.35">
      <c r="B15" t="s">
        <v>57</v>
      </c>
      <c r="C15" t="s">
        <v>58</v>
      </c>
      <c r="D15" t="s">
        <v>18</v>
      </c>
      <c r="E15" t="s">
        <v>59</v>
      </c>
      <c r="F15">
        <v>45927</v>
      </c>
      <c r="G15">
        <v>45937</v>
      </c>
      <c r="H15">
        <v>10</v>
      </c>
      <c r="I15" t="s">
        <v>23</v>
      </c>
      <c r="J15" t="b">
        <v>1</v>
      </c>
      <c r="K15" t="s">
        <v>60</v>
      </c>
    </row>
    <row r="16" spans="2:11" x14ac:dyDescent="0.35">
      <c r="B16" t="s">
        <v>61</v>
      </c>
      <c r="C16" t="s">
        <v>62</v>
      </c>
      <c r="D16" t="s">
        <v>18</v>
      </c>
      <c r="E16" t="s">
        <v>59</v>
      </c>
      <c r="F16">
        <v>45928</v>
      </c>
      <c r="G16">
        <v>45948</v>
      </c>
      <c r="H16">
        <v>20</v>
      </c>
      <c r="I16" t="s">
        <v>14</v>
      </c>
      <c r="J16" t="b">
        <v>0</v>
      </c>
      <c r="K16" t="s">
        <v>63</v>
      </c>
    </row>
    <row r="17" spans="2:17" x14ac:dyDescent="0.35">
      <c r="B17" t="s">
        <v>64</v>
      </c>
      <c r="C17" t="s">
        <v>65</v>
      </c>
      <c r="D17" t="s">
        <v>12</v>
      </c>
      <c r="E17" t="s">
        <v>59</v>
      </c>
      <c r="F17">
        <v>45929</v>
      </c>
      <c r="G17">
        <v>45934</v>
      </c>
      <c r="H17">
        <v>5</v>
      </c>
      <c r="I17" t="s">
        <v>39</v>
      </c>
      <c r="J17" t="b">
        <v>1</v>
      </c>
      <c r="K17" t="s">
        <v>66</v>
      </c>
    </row>
    <row r="31" spans="2:17" x14ac:dyDescent="0.35">
      <c r="Q31" t="s">
        <v>71</v>
      </c>
    </row>
    <row r="38" spans="12:12" x14ac:dyDescent="0.35">
      <c r="L3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E1B7-0FE6-43E3-866A-921084A21BF6}">
  <dimension ref="B2:K7"/>
  <sheetViews>
    <sheetView zoomScale="70" zoomScaleNormal="70" workbookViewId="0">
      <selection activeCell="R8" sqref="R8"/>
    </sheetView>
  </sheetViews>
  <sheetFormatPr defaultRowHeight="14.5" x14ac:dyDescent="0.35"/>
  <cols>
    <col min="2" max="2" width="10.26953125" bestFit="1" customWidth="1"/>
    <col min="3" max="3" width="6.7265625" bestFit="1" customWidth="1"/>
    <col min="5" max="5" width="13" bestFit="1" customWidth="1"/>
    <col min="6" max="6" width="7.90625" bestFit="1" customWidth="1"/>
    <col min="8" max="8" width="9.26953125" bestFit="1" customWidth="1"/>
    <col min="9" max="9" width="6.7265625" bestFit="1" customWidth="1"/>
    <col min="11" max="11" width="9.08984375" bestFit="1" customWidth="1"/>
  </cols>
  <sheetData>
    <row r="2" spans="2:11" ht="16" x14ac:dyDescent="0.4">
      <c r="B2" s="3" t="s">
        <v>7</v>
      </c>
      <c r="C2" s="3" t="s">
        <v>67</v>
      </c>
      <c r="E2" s="3" t="s">
        <v>68</v>
      </c>
      <c r="F2" s="3" t="s">
        <v>67</v>
      </c>
      <c r="H2" s="3" t="s">
        <v>2</v>
      </c>
      <c r="I2" s="3" t="s">
        <v>67</v>
      </c>
      <c r="K2" s="3" t="s">
        <v>69</v>
      </c>
    </row>
    <row r="3" spans="2:11" x14ac:dyDescent="0.35">
      <c r="B3" t="s">
        <v>14</v>
      </c>
      <c r="C3" s="1" t="e">
        <f>COUNTIF(#REF!,'SUPPORT SHEET'!B3)</f>
        <v>#REF!</v>
      </c>
      <c r="E3" t="s">
        <v>13</v>
      </c>
      <c r="F3" s="1" t="e">
        <f>COUNTIF(#REF!,'SUPPORT SHEET'!E3)</f>
        <v>#REF!</v>
      </c>
      <c r="H3" t="s">
        <v>12</v>
      </c>
      <c r="I3" s="1" t="e">
        <f>COUNTIF(#REF!,'SUPPORT SHEET'!H3)</f>
        <v>#REF!</v>
      </c>
      <c r="K3" s="1" t="e">
        <f>COUNTIF(#REF!,TRUE)</f>
        <v>#REF!</v>
      </c>
    </row>
    <row r="4" spans="2:11" x14ac:dyDescent="0.35">
      <c r="B4" t="s">
        <v>23</v>
      </c>
      <c r="C4" s="1" t="e">
        <f>COUNTIF(#REF!,'SUPPORT SHEET'!B4)</f>
        <v>#REF!</v>
      </c>
      <c r="E4" t="s">
        <v>22</v>
      </c>
      <c r="F4" s="1" t="e">
        <f>COUNTIF(#REF!,'SUPPORT SHEET'!E4)</f>
        <v>#REF!</v>
      </c>
      <c r="H4" t="s">
        <v>18</v>
      </c>
      <c r="I4" s="1" t="e">
        <f>COUNTIF(#REF!,'SUPPORT SHEET'!H4)</f>
        <v>#REF!</v>
      </c>
    </row>
    <row r="5" spans="2:11" x14ac:dyDescent="0.35">
      <c r="B5" t="s">
        <v>39</v>
      </c>
      <c r="C5" s="1" t="e">
        <f>COUNTIF(#REF!,'SUPPORT SHEET'!B5)</f>
        <v>#REF!</v>
      </c>
      <c r="E5" t="s">
        <v>30</v>
      </c>
      <c r="F5" s="1" t="e">
        <f>COUNTIF(#REF!,'SUPPORT SHEET'!E5)</f>
        <v>#REF!</v>
      </c>
      <c r="H5" t="s">
        <v>34</v>
      </c>
      <c r="I5" s="1" t="e">
        <f>COUNTIF(#REF!,'SUPPORT SHEET'!H5)</f>
        <v>#REF!</v>
      </c>
    </row>
    <row r="6" spans="2:11" x14ac:dyDescent="0.35">
      <c r="B6" t="s">
        <v>70</v>
      </c>
      <c r="C6" s="1" t="e">
        <f>SUM(C3:C5)</f>
        <v>#REF!</v>
      </c>
      <c r="E6" t="s">
        <v>38</v>
      </c>
      <c r="F6" s="1" t="e">
        <f>COUNTIF(#REF!,'SUPPORT SHEET'!E6)</f>
        <v>#REF!</v>
      </c>
      <c r="H6" t="s">
        <v>43</v>
      </c>
      <c r="I6" s="1" t="e">
        <f>COUNTIF(#REF!,'SUPPORT SHEET'!H6)</f>
        <v>#REF!</v>
      </c>
    </row>
    <row r="7" spans="2:11" x14ac:dyDescent="0.35">
      <c r="E7" t="s">
        <v>59</v>
      </c>
      <c r="F7" s="1" t="e">
        <f>COUNTIF(#REF!,'SUPPORT SHEET'!E7)</f>
        <v>#REF!</v>
      </c>
      <c r="I7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A572E7BC64DC4C884D9F194786D9A8" ma:contentTypeVersion="12" ma:contentTypeDescription="Create a new document." ma:contentTypeScope="" ma:versionID="d5acbc2ba47b338a70571b76ffb61a15">
  <xsd:schema xmlns:xsd="http://www.w3.org/2001/XMLSchema" xmlns:xs="http://www.w3.org/2001/XMLSchema" xmlns:p="http://schemas.microsoft.com/office/2006/metadata/properties" xmlns:ns3="c56cb6de-69f3-41b4-9155-b3c05879b0ad" xmlns:ns4="ce365cd3-ac5d-40d5-8d9f-70cd62f0951f" targetNamespace="http://schemas.microsoft.com/office/2006/metadata/properties" ma:root="true" ma:fieldsID="2966ea16f084cc53a3a00882c9883c44" ns3:_="" ns4:_="">
    <xsd:import namespace="c56cb6de-69f3-41b4-9155-b3c05879b0ad"/>
    <xsd:import namespace="ce365cd3-ac5d-40d5-8d9f-70cd62f095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cb6de-69f3-41b4-9155-b3c05879b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65cd3-ac5d-40d5-8d9f-70cd62f095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6cb6de-69f3-41b4-9155-b3c05879b0ad" xsi:nil="true"/>
  </documentManagement>
</p:properties>
</file>

<file path=customXml/itemProps1.xml><?xml version="1.0" encoding="utf-8"?>
<ds:datastoreItem xmlns:ds="http://schemas.openxmlformats.org/officeDocument/2006/customXml" ds:itemID="{88F96C1A-546E-4253-8950-E51C9856F0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6cb6de-69f3-41b4-9155-b3c05879b0ad"/>
    <ds:schemaRef ds:uri="ce365cd3-ac5d-40d5-8d9f-70cd62f095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E64816-8E4A-4C66-829F-3E7FDE974E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129A52-D789-46BF-BAA5-FB52920BF177}">
  <ds:schemaRefs>
    <ds:schemaRef ds:uri="http://schemas.microsoft.com/office/infopath/2007/PartnerControls"/>
    <ds:schemaRef ds:uri="http://www.w3.org/XML/1998/namespace"/>
    <ds:schemaRef ds:uri="ce365cd3-ac5d-40d5-8d9f-70cd62f0951f"/>
    <ds:schemaRef ds:uri="c56cb6de-69f3-41b4-9155-b3c05879b0ad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SUPPORT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RIYASHAD</dc:creator>
  <cp:lastModifiedBy>MOHAMMED RIYASHAD</cp:lastModifiedBy>
  <dcterms:created xsi:type="dcterms:W3CDTF">2026-01-07T17:19:15Z</dcterms:created>
  <dcterms:modified xsi:type="dcterms:W3CDTF">2026-01-11T05:53:43Z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0x01010053A572E7BC64DC4C884D9F194786D9A8</vt:lpwstr>
  </property>
</Properties>
</file>